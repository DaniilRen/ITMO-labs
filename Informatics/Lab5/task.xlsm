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ode\ITMO-labs\Informatics\Lab5\"/>
    </mc:Choice>
  </mc:AlternateContent>
  <xr:revisionPtr revIDLastSave="0" documentId="13_ncr:1_{EFCF8D2A-AA15-4DB6-9E71-84B3075A432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0" i="1" l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I5" i="1" s="1"/>
  <c r="C4" i="1"/>
  <c r="J4" i="1" l="1"/>
  <c r="I4" i="1"/>
  <c r="G4" i="1"/>
  <c r="G18" i="1" s="1"/>
  <c r="H4" i="1"/>
  <c r="H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L4" i="1"/>
  <c r="T4" i="1"/>
  <c r="X4" i="1"/>
  <c r="M4" i="1"/>
  <c r="Q4" i="1"/>
  <c r="Y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Y20" i="1" s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17" i="1" l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N30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AG67" i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T30" i="1" s="1"/>
  <c r="G49" i="1"/>
  <c r="H54" i="1" s="1"/>
  <c r="G52" i="1"/>
  <c r="R21" i="1" l="1"/>
  <c r="Y21" i="1"/>
  <c r="W30" i="1"/>
  <c r="H21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AG59" i="1" s="1"/>
  <c r="Q22" i="1" l="1"/>
  <c r="AG19" i="1"/>
  <c r="AG51" i="1"/>
  <c r="AG35" i="1"/>
  <c r="AA28" i="1"/>
  <c r="Q30" i="1" s="1"/>
  <c r="AA44" i="1"/>
  <c r="AG43" i="1" s="1"/>
  <c r="Q62" i="1"/>
  <c r="AG27" i="1" l="1"/>
  <c r="Q46" i="1"/>
</calcChain>
</file>

<file path=xl/sharedStrings.xml><?xml version="1.0" encoding="utf-8"?>
<sst xmlns="http://schemas.openxmlformats.org/spreadsheetml/2006/main" count="152" uniqueCount="68">
  <si>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</si>
  <si>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</si>
  <si>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</si>
  <si>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</si>
  <si>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</si>
  <si>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</si>
  <si>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</si>
  <si>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</si>
  <si>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</si>
  <si>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</si>
  <si>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</si>
  <si>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</si>
  <si>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</si>
  <si>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</si>
  <si>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</si>
  <si>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</si>
  <si>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</si>
  <si>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</si>
  <si>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</si>
  <si>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</si>
  <si>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</si>
  <si>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</si>
  <si>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</si>
  <si>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</si>
  <si>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</si>
  <si>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</si>
  <si>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</si>
  <si>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</si>
  <si>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</si>
  <si>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</si>
  <si>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</si>
  <si>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</si>
  <si>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</si>
  <si>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</si>
  <si>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</si>
  <si>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</si>
  <si>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</si>
  <si>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</si>
  <si>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</si>
  <si>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</si>
  <si>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</si>
  <si>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</si>
  <si>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</si>
  <si>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</si>
  <si>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</si>
  <si>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</si>
  <si>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</si>
  <si>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</si>
  <si>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</si>
  <si>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</si>
  <si>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</si>
  <si>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</si>
  <si>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</si>
  <si>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</si>
  <si>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</si>
  <si>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</si>
  <si>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</si>
  <si>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</si>
  <si>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</si>
  <si>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</si>
  <si>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</si>
  <si>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</si>
  <si>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</si>
  <si>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</si>
  <si>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</si>
  <si>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r>
      <t>ОДЗ: 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 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</si>
  <si>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Доп код</t>
  </si>
  <si>
    <t>При сложении двух положительных слагаемых получен отрицательный результат ПЕРЕПОЛНЕНИЕ!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</si>
</sst>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  <xf numFmtId="0" fontId="0" fillId="2" borderId="0" xfId="0" applyFill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Обычный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70"/>
  <sheetViews>
    <sheetView tabSelected="1" zoomScaleNormal="100" workbookViewId="0">
      <selection activeCell="AC17" sqref="AC17"/>
    </sheetView>
  </sheetViews>
  <sheetFormatPr defaultRowHeight="15" x14ac:dyDescent="0.25"/>
  <cols>
    <col min="1" max="1" width="5.140625" customWidth="1"/>
    <col min="2" max="2" width="10.85546875" customWidth="1"/>
    <col min="4" max="4" width="4" customWidth="1"/>
    <col min="6" max="6" width="10.28515625" customWidth="1"/>
    <col min="7" max="25" width="3.7109375" customWidth="1"/>
    <col min="27" max="27" width="9.140625" customWidth="1"/>
    <col min="28" max="28" width="10" customWidth="1"/>
  </cols>
  <sheetData>
    <row r="1" spans="1:33" ht="26.25" x14ac:dyDescent="0.4">
      <c r="B1" s="1" t="s">
        <v>0</v>
      </c>
      <c r="C1">
        <v>15114</v>
      </c>
      <c r="O1" s="12"/>
    </row>
    <row r="2" spans="1:33" x14ac:dyDescent="0.25">
      <c r="B2" s="1" t="s">
        <v>24</v>
      </c>
      <c r="C2">
        <v>15638</v>
      </c>
      <c r="AG2" s="11" t="s">
        <v>62</v>
      </c>
    </row>
    <row r="3" spans="1:33" ht="17.25" x14ac:dyDescent="0.25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s="13" t="s">
        <v>65</v>
      </c>
      <c r="AB3" s="13"/>
      <c r="AG3" s="11" t="s">
        <v>67</v>
      </c>
    </row>
    <row r="4" spans="1:33" x14ac:dyDescent="0.25">
      <c r="A4" s="4" t="s">
        <v>1</v>
      </c>
      <c r="B4" s="1" t="s">
        <v>0</v>
      </c>
      <c r="C4">
        <f>C1</f>
        <v>15114</v>
      </c>
      <c r="E4" t="s">
        <v>25</v>
      </c>
      <c r="G4" s="14" t="str">
        <f>IF(G$3="",".",MID(IF($C4&gt;0,_xlfn.BASE($C4,2,16),_xlfn.BASE($C4+2^16,2,16)),ABS(G$3-16),1))</f>
        <v>0</v>
      </c>
      <c r="H4" s="14" t="str">
        <f>IF(H$3="",".",MID(IF($C4&gt;0,_xlfn.BASE($C4,2,16),_xlfn.BASE($C4+2^16,2,16)),ABS(H$3-16),1))</f>
        <v>0</v>
      </c>
      <c r="I4" s="14" t="str">
        <f>IF(I$3="",".",MID(IF($C4&gt;0,_xlfn.BASE($C4,2,16),_xlfn.BASE($C4+2^16,2,16)),ABS(I$3-16),1))</f>
        <v>1</v>
      </c>
      <c r="J4" s="14" t="str">
        <f>IF(J$3="",".",MID(IF($C4&gt;0,_xlfn.BASE($C4,2,16),_xlfn.BASE($C4+2^16,2,16)),ABS(J$3-16),1))</f>
        <v>1</v>
      </c>
      <c r="K4" s="14" t="str">
        <f t="shared" ref="H4:Y15" si="0">IF(K$3="",".",MID(IF($C4&gt;0,_xlfn.BASE($C4,2,16),_xlfn.BASE($C4+2^16,2,16)),ABS(K$3-16),1))</f>
        <v>.</v>
      </c>
      <c r="L4" s="14" t="str">
        <f t="shared" si="0"/>
        <v>1</v>
      </c>
      <c r="M4" s="14" t="str">
        <f t="shared" si="0"/>
        <v>0</v>
      </c>
      <c r="N4" s="14" t="str">
        <f t="shared" si="0"/>
        <v>1</v>
      </c>
      <c r="O4" s="14" t="str">
        <f t="shared" si="0"/>
        <v>1</v>
      </c>
      <c r="P4" s="14" t="str">
        <f t="shared" si="0"/>
        <v>.</v>
      </c>
      <c r="Q4" s="14" t="str">
        <f t="shared" si="0"/>
        <v>0</v>
      </c>
      <c r="R4" s="14" t="str">
        <f t="shared" si="0"/>
        <v>0</v>
      </c>
      <c r="S4" s="14" t="str">
        <f t="shared" si="0"/>
        <v>0</v>
      </c>
      <c r="T4" s="14" t="str">
        <f t="shared" si="0"/>
        <v>0</v>
      </c>
      <c r="U4" s="14" t="str">
        <f t="shared" si="0"/>
        <v>.</v>
      </c>
      <c r="V4" s="14" t="str">
        <f t="shared" si="0"/>
        <v>1</v>
      </c>
      <c r="W4" s="14" t="str">
        <f t="shared" si="0"/>
        <v>0</v>
      </c>
      <c r="X4" s="14" t="str">
        <f t="shared" si="0"/>
        <v>1</v>
      </c>
      <c r="Y4" s="14" t="str">
        <f t="shared" si="0"/>
        <v>0</v>
      </c>
      <c r="AG4" s="11" t="s">
        <v>63</v>
      </c>
    </row>
    <row r="5" spans="1:33" x14ac:dyDescent="0.25">
      <c r="A5" s="4" t="s">
        <v>2</v>
      </c>
      <c r="B5" s="1" t="s">
        <v>13</v>
      </c>
      <c r="C5">
        <f>C2</f>
        <v>15638</v>
      </c>
      <c r="E5" t="s">
        <v>26</v>
      </c>
      <c r="G5" s="14" t="str">
        <f t="shared" ref="G5:G15" si="1">IF(G$3="",".",MID(IF($C5&gt;0,_xlfn.BASE($C5,2,16),_xlfn.BASE($C5+2^16,2,16)),ABS(G$3-16),1))</f>
        <v>0</v>
      </c>
      <c r="H5" s="14" t="str">
        <f t="shared" si="0"/>
        <v>0</v>
      </c>
      <c r="I5" s="14" t="str">
        <f>IF(I$3="",".",MID(IF($C5&gt;0,_xlfn.BASE($C5,2,16),_xlfn.BASE($C5+2^16,2,16)),ABS(I$3-16),1))</f>
        <v>1</v>
      </c>
      <c r="J5" s="14" t="str">
        <f t="shared" si="0"/>
        <v>1</v>
      </c>
      <c r="K5" s="14" t="str">
        <f t="shared" si="0"/>
        <v>.</v>
      </c>
      <c r="L5" s="14" t="str">
        <f t="shared" si="0"/>
        <v>1</v>
      </c>
      <c r="M5" s="14" t="str">
        <f t="shared" si="0"/>
        <v>1</v>
      </c>
      <c r="N5" s="14" t="str">
        <f t="shared" si="0"/>
        <v>0</v>
      </c>
      <c r="O5" s="14" t="str">
        <f t="shared" si="0"/>
        <v>1</v>
      </c>
      <c r="P5" s="14" t="str">
        <f t="shared" si="0"/>
        <v>.</v>
      </c>
      <c r="Q5" s="14" t="str">
        <f t="shared" si="0"/>
        <v>0</v>
      </c>
      <c r="R5" s="14" t="str">
        <f t="shared" si="0"/>
        <v>0</v>
      </c>
      <c r="S5" s="14" t="str">
        <f t="shared" si="0"/>
        <v>0</v>
      </c>
      <c r="T5" s="14" t="str">
        <f t="shared" si="0"/>
        <v>1</v>
      </c>
      <c r="U5" s="14" t="str">
        <f t="shared" si="0"/>
        <v>.</v>
      </c>
      <c r="V5" s="14" t="str">
        <f t="shared" si="0"/>
        <v>0</v>
      </c>
      <c r="W5" s="14" t="str">
        <f t="shared" si="0"/>
        <v>1</v>
      </c>
      <c r="X5" s="14" t="str">
        <f t="shared" si="0"/>
        <v>1</v>
      </c>
      <c r="Y5" s="14" t="str">
        <f t="shared" si="0"/>
        <v>0</v>
      </c>
      <c r="AG5" s="11" t="s">
        <v>64</v>
      </c>
    </row>
    <row r="6" spans="1:33" x14ac:dyDescent="0.25">
      <c r="A6" s="4" t="s">
        <v>3</v>
      </c>
      <c r="B6" s="1" t="s">
        <v>14</v>
      </c>
      <c r="C6">
        <f>C4+C5</f>
        <v>30752</v>
      </c>
      <c r="E6" t="s">
        <v>27</v>
      </c>
      <c r="G6" s="14" t="str">
        <f t="shared" si="1"/>
        <v>0</v>
      </c>
      <c r="H6" s="14" t="str">
        <f t="shared" si="0"/>
        <v>1</v>
      </c>
      <c r="I6" s="14" t="str">
        <f t="shared" si="0"/>
        <v>1</v>
      </c>
      <c r="J6" s="14" t="str">
        <f t="shared" si="0"/>
        <v>1</v>
      </c>
      <c r="K6" s="14" t="str">
        <f t="shared" si="0"/>
        <v>.</v>
      </c>
      <c r="L6" s="14" t="str">
        <f t="shared" si="0"/>
        <v>1</v>
      </c>
      <c r="M6" s="14" t="str">
        <f t="shared" si="0"/>
        <v>0</v>
      </c>
      <c r="N6" s="14" t="str">
        <f t="shared" si="0"/>
        <v>0</v>
      </c>
      <c r="O6" s="14" t="str">
        <f t="shared" si="0"/>
        <v>0</v>
      </c>
      <c r="P6" s="14" t="str">
        <f t="shared" si="0"/>
        <v>.</v>
      </c>
      <c r="Q6" s="14" t="str">
        <f t="shared" si="0"/>
        <v>0</v>
      </c>
      <c r="R6" s="14" t="str">
        <f t="shared" si="0"/>
        <v>0</v>
      </c>
      <c r="S6" s="14" t="str">
        <f t="shared" si="0"/>
        <v>1</v>
      </c>
      <c r="T6" s="14" t="str">
        <f t="shared" si="0"/>
        <v>0</v>
      </c>
      <c r="U6" s="14" t="str">
        <f t="shared" si="0"/>
        <v>.</v>
      </c>
      <c r="V6" s="14" t="str">
        <f t="shared" si="0"/>
        <v>0</v>
      </c>
      <c r="W6" s="14" t="str">
        <f t="shared" si="0"/>
        <v>0</v>
      </c>
      <c r="X6" s="14" t="str">
        <f t="shared" si="0"/>
        <v>0</v>
      </c>
      <c r="Y6" s="14" t="str">
        <f t="shared" si="0"/>
        <v>0</v>
      </c>
    </row>
    <row r="7" spans="1:33" x14ac:dyDescent="0.25">
      <c r="A7" s="4" t="s">
        <v>4</v>
      </c>
      <c r="B7" s="1" t="s">
        <v>15</v>
      </c>
      <c r="C7">
        <f>C6+C5</f>
        <v>46390</v>
      </c>
      <c r="E7" t="s">
        <v>28</v>
      </c>
      <c r="G7" s="14" t="str">
        <f>IF(G$3="",".",MID(IF($C7&gt;0,_xlfn.BASE($C7,2,16),_xlfn.BASE($C7+2^16,2,16)),ABS(G$3-16),1))</f>
        <v>1</v>
      </c>
      <c r="H7" s="14" t="str">
        <f t="shared" si="0"/>
        <v>0</v>
      </c>
      <c r="I7" s="14" t="str">
        <f t="shared" si="0"/>
        <v>1</v>
      </c>
      <c r="J7" s="14" t="str">
        <f t="shared" si="0"/>
        <v>1</v>
      </c>
      <c r="K7" s="14" t="str">
        <f t="shared" si="0"/>
        <v>.</v>
      </c>
      <c r="L7" s="14" t="str">
        <f t="shared" si="0"/>
        <v>0</v>
      </c>
      <c r="M7" s="14" t="str">
        <f t="shared" si="0"/>
        <v>1</v>
      </c>
      <c r="N7" s="14" t="str">
        <f t="shared" si="0"/>
        <v>0</v>
      </c>
      <c r="O7" s="14" t="str">
        <f t="shared" si="0"/>
        <v>1</v>
      </c>
      <c r="P7" s="14" t="str">
        <f t="shared" si="0"/>
        <v>.</v>
      </c>
      <c r="Q7" s="14" t="str">
        <f t="shared" si="0"/>
        <v>0</v>
      </c>
      <c r="R7" s="14" t="str">
        <f t="shared" si="0"/>
        <v>0</v>
      </c>
      <c r="S7" s="14" t="str">
        <f t="shared" si="0"/>
        <v>1</v>
      </c>
      <c r="T7" s="14" t="str">
        <f t="shared" si="0"/>
        <v>1</v>
      </c>
      <c r="U7" s="14" t="str">
        <f t="shared" si="0"/>
        <v>.</v>
      </c>
      <c r="V7" s="14" t="str">
        <f t="shared" si="0"/>
        <v>0</v>
      </c>
      <c r="W7" s="14" t="str">
        <f t="shared" si="0"/>
        <v>1</v>
      </c>
      <c r="X7" s="14" t="str">
        <f t="shared" si="0"/>
        <v>1</v>
      </c>
      <c r="Y7" s="14" t="str">
        <f t="shared" si="0"/>
        <v>0</v>
      </c>
    </row>
    <row r="8" spans="1:33" x14ac:dyDescent="0.25">
      <c r="A8" s="4" t="s">
        <v>5</v>
      </c>
      <c r="B8" s="1" t="s">
        <v>16</v>
      </c>
      <c r="C8">
        <f>C5-C4</f>
        <v>524</v>
      </c>
      <c r="E8" t="s">
        <v>29</v>
      </c>
      <c r="G8" s="14" t="str">
        <f t="shared" si="1"/>
        <v>0</v>
      </c>
      <c r="H8" s="14" t="str">
        <f t="shared" si="0"/>
        <v>0</v>
      </c>
      <c r="I8" s="14" t="str">
        <f t="shared" si="0"/>
        <v>0</v>
      </c>
      <c r="J8" s="14" t="str">
        <f t="shared" si="0"/>
        <v>0</v>
      </c>
      <c r="K8" s="14" t="str">
        <f t="shared" si="0"/>
        <v>.</v>
      </c>
      <c r="L8" s="14" t="str">
        <f t="shared" si="0"/>
        <v>0</v>
      </c>
      <c r="M8" s="14" t="str">
        <f t="shared" si="0"/>
        <v>0</v>
      </c>
      <c r="N8" s="14" t="str">
        <f t="shared" si="0"/>
        <v>1</v>
      </c>
      <c r="O8" s="14" t="str">
        <f t="shared" si="0"/>
        <v>0</v>
      </c>
      <c r="P8" s="14" t="str">
        <f t="shared" si="0"/>
        <v>.</v>
      </c>
      <c r="Q8" s="14" t="str">
        <f t="shared" si="0"/>
        <v>0</v>
      </c>
      <c r="R8" s="14" t="str">
        <f t="shared" si="0"/>
        <v>0</v>
      </c>
      <c r="S8" s="14" t="str">
        <f t="shared" si="0"/>
        <v>0</v>
      </c>
      <c r="T8" s="14" t="str">
        <f t="shared" si="0"/>
        <v>0</v>
      </c>
      <c r="U8" s="14" t="str">
        <f t="shared" si="0"/>
        <v>.</v>
      </c>
      <c r="V8" s="14" t="str">
        <f t="shared" si="0"/>
        <v>1</v>
      </c>
      <c r="W8" s="14" t="str">
        <f t="shared" si="0"/>
        <v>1</v>
      </c>
      <c r="X8" s="14" t="str">
        <f t="shared" si="0"/>
        <v>0</v>
      </c>
      <c r="Y8" s="14" t="str">
        <f t="shared" si="0"/>
        <v>0</v>
      </c>
    </row>
    <row r="9" spans="1:33" x14ac:dyDescent="0.25">
      <c r="A9" s="4" t="s">
        <v>6</v>
      </c>
      <c r="B9" s="1" t="s">
        <v>17</v>
      </c>
      <c r="C9">
        <f>65536-C7</f>
        <v>19146</v>
      </c>
      <c r="E9" t="s">
        <v>30</v>
      </c>
      <c r="G9" s="14" t="str">
        <f t="shared" si="1"/>
        <v>0</v>
      </c>
      <c r="H9" s="14" t="str">
        <f t="shared" si="0"/>
        <v>1</v>
      </c>
      <c r="I9" s="14" t="str">
        <f t="shared" si="0"/>
        <v>0</v>
      </c>
      <c r="J9" s="14" t="str">
        <f t="shared" si="0"/>
        <v>0</v>
      </c>
      <c r="K9" s="14" t="str">
        <f t="shared" si="0"/>
        <v>.</v>
      </c>
      <c r="L9" s="14" t="str">
        <f t="shared" si="0"/>
        <v>1</v>
      </c>
      <c r="M9" s="14" t="str">
        <f t="shared" si="0"/>
        <v>0</v>
      </c>
      <c r="N9" s="14" t="str">
        <f t="shared" si="0"/>
        <v>1</v>
      </c>
      <c r="O9" s="14" t="str">
        <f t="shared" si="0"/>
        <v>0</v>
      </c>
      <c r="P9" s="14" t="str">
        <f t="shared" si="0"/>
        <v>.</v>
      </c>
      <c r="Q9" s="14" t="str">
        <f t="shared" si="0"/>
        <v>1</v>
      </c>
      <c r="R9" s="14" t="str">
        <f t="shared" si="0"/>
        <v>1</v>
      </c>
      <c r="S9" s="14" t="str">
        <f t="shared" si="0"/>
        <v>0</v>
      </c>
      <c r="T9" s="14" t="str">
        <f t="shared" si="0"/>
        <v>0</v>
      </c>
      <c r="U9" s="14" t="str">
        <f t="shared" si="0"/>
        <v>.</v>
      </c>
      <c r="V9" s="14" t="str">
        <f t="shared" si="0"/>
        <v>1</v>
      </c>
      <c r="W9" s="14" t="str">
        <f t="shared" si="0"/>
        <v>0</v>
      </c>
      <c r="X9" s="14" t="str">
        <f t="shared" si="0"/>
        <v>1</v>
      </c>
      <c r="Y9" s="14" t="str">
        <f t="shared" si="0"/>
        <v>0</v>
      </c>
    </row>
    <row r="10" spans="1:33" x14ac:dyDescent="0.25">
      <c r="A10" s="4" t="s">
        <v>7</v>
      </c>
      <c r="B10" s="3" t="s">
        <v>18</v>
      </c>
      <c r="C10">
        <f t="shared" ref="C10:C15" si="2">-C4</f>
        <v>-15114</v>
      </c>
      <c r="E10" t="s">
        <v>31</v>
      </c>
      <c r="F10" s="1" t="str">
        <f>"-B1="</f>
        <v>-B1=</v>
      </c>
      <c r="G10" s="14" t="str">
        <f t="shared" si="1"/>
        <v>1</v>
      </c>
      <c r="H10" s="14" t="str">
        <f t="shared" si="0"/>
        <v>1</v>
      </c>
      <c r="I10" s="14" t="str">
        <f t="shared" si="0"/>
        <v>0</v>
      </c>
      <c r="J10" s="14" t="str">
        <f t="shared" si="0"/>
        <v>0</v>
      </c>
      <c r="K10" s="14" t="str">
        <f t="shared" si="0"/>
        <v>.</v>
      </c>
      <c r="L10" s="14" t="str">
        <f t="shared" si="0"/>
        <v>0</v>
      </c>
      <c r="M10" s="14" t="str">
        <f t="shared" si="0"/>
        <v>1</v>
      </c>
      <c r="N10" s="14" t="str">
        <f t="shared" si="0"/>
        <v>0</v>
      </c>
      <c r="O10" s="14" t="str">
        <f t="shared" si="0"/>
        <v>0</v>
      </c>
      <c r="P10" s="14" t="str">
        <f t="shared" si="0"/>
        <v>.</v>
      </c>
      <c r="Q10" s="14" t="str">
        <f t="shared" si="0"/>
        <v>1</v>
      </c>
      <c r="R10" s="14" t="str">
        <f t="shared" si="0"/>
        <v>1</v>
      </c>
      <c r="S10" s="14" t="str">
        <f t="shared" si="0"/>
        <v>1</v>
      </c>
      <c r="T10" s="14" t="str">
        <f t="shared" si="0"/>
        <v>1</v>
      </c>
      <c r="U10" s="14" t="str">
        <f t="shared" si="0"/>
        <v>.</v>
      </c>
      <c r="V10" s="14" t="str">
        <f t="shared" si="0"/>
        <v>0</v>
      </c>
      <c r="W10" s="14" t="str">
        <f t="shared" si="0"/>
        <v>1</v>
      </c>
      <c r="X10" s="14" t="str">
        <f t="shared" si="0"/>
        <v>1</v>
      </c>
      <c r="Y10" s="14" t="str">
        <f t="shared" si="0"/>
        <v>0</v>
      </c>
    </row>
    <row r="11" spans="1:33" x14ac:dyDescent="0.25">
      <c r="A11" s="4" t="s">
        <v>8</v>
      </c>
      <c r="B11" s="3" t="s">
        <v>19</v>
      </c>
      <c r="C11">
        <f t="shared" si="2"/>
        <v>-15638</v>
      </c>
      <c r="E11" t="s">
        <v>32</v>
      </c>
      <c r="F11" s="1" t="str">
        <f>"-B2="</f>
        <v>-B2=</v>
      </c>
      <c r="G11" s="14" t="str">
        <f>IF(G$3="",".",MID(IF($C11&gt;0,_xlfn.BASE($C11,2,16),_xlfn.BASE($C11+2^16,2,16)),ABS(G$3-16),1))</f>
        <v>1</v>
      </c>
      <c r="H11" s="14" t="str">
        <f t="shared" si="0"/>
        <v>1</v>
      </c>
      <c r="I11" s="14" t="str">
        <f t="shared" si="0"/>
        <v>0</v>
      </c>
      <c r="J11" s="14" t="str">
        <f t="shared" si="0"/>
        <v>0</v>
      </c>
      <c r="K11" s="14" t="str">
        <f t="shared" si="0"/>
        <v>.</v>
      </c>
      <c r="L11" s="14" t="str">
        <f t="shared" si="0"/>
        <v>0</v>
      </c>
      <c r="M11" s="14" t="str">
        <f t="shared" si="0"/>
        <v>0</v>
      </c>
      <c r="N11" s="14" t="str">
        <f t="shared" si="0"/>
        <v>1</v>
      </c>
      <c r="O11" s="14" t="str">
        <f t="shared" si="0"/>
        <v>0</v>
      </c>
      <c r="P11" s="14" t="str">
        <f t="shared" si="0"/>
        <v>.</v>
      </c>
      <c r="Q11" s="14" t="str">
        <f t="shared" si="0"/>
        <v>1</v>
      </c>
      <c r="R11" s="14" t="str">
        <f t="shared" si="0"/>
        <v>1</v>
      </c>
      <c r="S11" s="14" t="str">
        <f t="shared" si="0"/>
        <v>1</v>
      </c>
      <c r="T11" s="14" t="str">
        <f t="shared" si="0"/>
        <v>0</v>
      </c>
      <c r="U11" s="14" t="str">
        <f t="shared" si="0"/>
        <v>.</v>
      </c>
      <c r="V11" s="14" t="str">
        <f t="shared" si="0"/>
        <v>1</v>
      </c>
      <c r="W11" s="14" t="str">
        <f t="shared" si="0"/>
        <v>0</v>
      </c>
      <c r="X11" s="14" t="str">
        <f t="shared" si="0"/>
        <v>1</v>
      </c>
      <c r="Y11" s="14" t="str">
        <f t="shared" si="0"/>
        <v>0</v>
      </c>
    </row>
    <row r="12" spans="1:33" x14ac:dyDescent="0.25">
      <c r="A12" s="4" t="s">
        <v>9</v>
      </c>
      <c r="B12" s="3" t="s">
        <v>20</v>
      </c>
      <c r="C12">
        <f t="shared" si="2"/>
        <v>-30752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1</v>
      </c>
      <c r="N12" s="4" t="str">
        <f t="shared" si="0"/>
        <v>1</v>
      </c>
      <c r="O12" s="4" t="str">
        <f t="shared" si="0"/>
        <v>1</v>
      </c>
      <c r="P12" s="4" t="str">
        <f t="shared" si="0"/>
        <v>.</v>
      </c>
      <c r="Q12" s="4" t="str">
        <f t="shared" si="0"/>
        <v>1</v>
      </c>
      <c r="R12" s="4" t="str">
        <f t="shared" si="0"/>
        <v>1</v>
      </c>
      <c r="S12" s="4" t="str">
        <f t="shared" si="0"/>
        <v>1</v>
      </c>
      <c r="T12" s="4" t="str">
        <f t="shared" si="0"/>
        <v>0</v>
      </c>
      <c r="U12" s="4" t="str">
        <f t="shared" si="0"/>
        <v>.</v>
      </c>
      <c r="V12" s="4" t="str">
        <f t="shared" si="0"/>
        <v>0</v>
      </c>
      <c r="W12" s="4" t="str">
        <f t="shared" si="0"/>
        <v>0</v>
      </c>
      <c r="X12" s="4" t="str">
        <f t="shared" si="0"/>
        <v>0</v>
      </c>
      <c r="Y12" s="4" t="str">
        <f t="shared" si="0"/>
        <v>0</v>
      </c>
    </row>
    <row r="13" spans="1:33" x14ac:dyDescent="0.25">
      <c r="A13" s="4" t="s">
        <v>10</v>
      </c>
      <c r="B13" s="3" t="s">
        <v>21</v>
      </c>
      <c r="C13">
        <f t="shared" si="2"/>
        <v>-46390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1</v>
      </c>
      <c r="I13" s="4" t="str">
        <f t="shared" si="0"/>
        <v>0</v>
      </c>
      <c r="J13" s="4" t="str">
        <f t="shared" si="0"/>
        <v>0</v>
      </c>
      <c r="K13" s="4" t="str">
        <f t="shared" si="0"/>
        <v>.</v>
      </c>
      <c r="L13" s="4" t="str">
        <f t="shared" si="0"/>
        <v>1</v>
      </c>
      <c r="M13" s="4" t="str">
        <f t="shared" si="0"/>
        <v>0</v>
      </c>
      <c r="N13" s="4" t="str">
        <f t="shared" si="0"/>
        <v>1</v>
      </c>
      <c r="O13" s="4" t="str">
        <f t="shared" si="0"/>
        <v>0</v>
      </c>
      <c r="P13" s="4" t="str">
        <f t="shared" si="0"/>
        <v>.</v>
      </c>
      <c r="Q13" s="4" t="str">
        <f t="shared" si="0"/>
        <v>1</v>
      </c>
      <c r="R13" s="4" t="str">
        <f t="shared" si="0"/>
        <v>1</v>
      </c>
      <c r="S13" s="4" t="str">
        <f t="shared" si="0"/>
        <v>0</v>
      </c>
      <c r="T13" s="4" t="str">
        <f t="shared" si="0"/>
        <v>0</v>
      </c>
      <c r="U13" s="4" t="str">
        <f t="shared" si="0"/>
        <v>.</v>
      </c>
      <c r="V13" s="4" t="str">
        <f t="shared" si="0"/>
        <v>1</v>
      </c>
      <c r="W13" s="4" t="str">
        <f t="shared" si="0"/>
        <v>0</v>
      </c>
      <c r="X13" s="4" t="str">
        <f t="shared" si="0"/>
        <v>1</v>
      </c>
      <c r="Y13" s="4" t="str">
        <f t="shared" si="0"/>
        <v>0</v>
      </c>
    </row>
    <row r="14" spans="1:33" x14ac:dyDescent="0.25">
      <c r="A14" s="4" t="s">
        <v>11</v>
      </c>
      <c r="B14" s="3" t="s">
        <v>22</v>
      </c>
      <c r="C14">
        <f t="shared" si="2"/>
        <v>-524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1</v>
      </c>
      <c r="I14" s="4" t="str">
        <f t="shared" si="0"/>
        <v>1</v>
      </c>
      <c r="J14" s="4" t="str">
        <f t="shared" si="0"/>
        <v>1</v>
      </c>
      <c r="K14" s="4" t="str">
        <f t="shared" si="0"/>
        <v>.</v>
      </c>
      <c r="L14" s="4" t="str">
        <f t="shared" si="0"/>
        <v>1</v>
      </c>
      <c r="M14" s="4" t="str">
        <f t="shared" si="0"/>
        <v>1</v>
      </c>
      <c r="N14" s="4" t="str">
        <f t="shared" si="0"/>
        <v>0</v>
      </c>
      <c r="O14" s="4" t="str">
        <f t="shared" si="0"/>
        <v>1</v>
      </c>
      <c r="P14" s="4" t="str">
        <f t="shared" si="0"/>
        <v>.</v>
      </c>
      <c r="Q14" s="4" t="str">
        <f t="shared" si="0"/>
        <v>1</v>
      </c>
      <c r="R14" s="4" t="str">
        <f t="shared" si="0"/>
        <v>1</v>
      </c>
      <c r="S14" s="4" t="str">
        <f t="shared" si="0"/>
        <v>1</v>
      </c>
      <c r="T14" s="4" t="str">
        <f t="shared" si="0"/>
        <v>1</v>
      </c>
      <c r="U14" s="4" t="str">
        <f t="shared" si="0"/>
        <v>.</v>
      </c>
      <c r="V14" s="4" t="str">
        <f t="shared" si="0"/>
        <v>0</v>
      </c>
      <c r="W14" s="4" t="str">
        <f t="shared" si="0"/>
        <v>1</v>
      </c>
      <c r="X14" s="4" t="str">
        <f t="shared" si="0"/>
        <v>0</v>
      </c>
      <c r="Y14" s="4" t="str">
        <f t="shared" si="0"/>
        <v>0</v>
      </c>
    </row>
    <row r="15" spans="1:33" x14ac:dyDescent="0.25">
      <c r="A15" s="4" t="s">
        <v>12</v>
      </c>
      <c r="B15" s="3" t="s">
        <v>23</v>
      </c>
      <c r="C15">
        <f t="shared" si="2"/>
        <v>-19146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0</v>
      </c>
      <c r="I15" s="4" t="str">
        <f t="shared" si="0"/>
        <v>1</v>
      </c>
      <c r="J15" s="4" t="str">
        <f t="shared" si="0"/>
        <v>1</v>
      </c>
      <c r="K15" s="4" t="str">
        <f t="shared" si="0"/>
        <v>.</v>
      </c>
      <c r="L15" s="4" t="str">
        <f t="shared" si="0"/>
        <v>0</v>
      </c>
      <c r="M15" s="4" t="str">
        <f t="shared" si="0"/>
        <v>1</v>
      </c>
      <c r="N15" s="4" t="str">
        <f t="shared" si="0"/>
        <v>0</v>
      </c>
      <c r="O15" s="4" t="str">
        <f t="shared" si="0"/>
        <v>1</v>
      </c>
      <c r="P15" s="4" t="str">
        <f t="shared" si="0"/>
        <v>.</v>
      </c>
      <c r="Q15" s="4" t="str">
        <f t="shared" si="0"/>
        <v>0</v>
      </c>
      <c r="R15" s="4" t="str">
        <f t="shared" si="0"/>
        <v>0</v>
      </c>
      <c r="S15" s="4" t="str">
        <f t="shared" si="0"/>
        <v>1</v>
      </c>
      <c r="T15" s="4" t="str">
        <f t="shared" si="0"/>
        <v>1</v>
      </c>
      <c r="U15" s="4" t="str">
        <f t="shared" si="0"/>
        <v>.</v>
      </c>
      <c r="V15" s="4" t="str">
        <f t="shared" si="0"/>
        <v>0</v>
      </c>
      <c r="W15" s="4" t="str">
        <f t="shared" si="0"/>
        <v>1</v>
      </c>
      <c r="X15" s="4" t="str">
        <f t="shared" si="0"/>
        <v>1</v>
      </c>
      <c r="Y15" s="4" t="str">
        <f t="shared" si="0"/>
        <v>0</v>
      </c>
    </row>
    <row r="17" spans="4:33" x14ac:dyDescent="0.25"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1</v>
      </c>
      <c r="J17" s="5">
        <f t="shared" ref="J17" si="6">IF(J18&lt;&gt;".",IF(J18+J19&lt;&gt;0,IF(J18+J19+K17=3,1,MOD(J18+J19+K17-1,2)),0),K17)</f>
        <v>1</v>
      </c>
      <c r="K17" s="9">
        <f>IF(K18&lt;&gt;".",IF(K18+K19&lt;&gt;0,IF(K18+K19+L17=3,1,MOD(K18+K19+L17-1,2)),0),L17)</f>
        <v>1</v>
      </c>
      <c r="L17" s="5">
        <f t="shared" ref="L17" si="7">IF(L18&lt;&gt;".",IF(L18+L19&lt;&gt;0,IF(L18+L19+M17=3,1,MOD(L18+L19+M17-1,2)),0),M17)</f>
        <v>1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1</v>
      </c>
      <c r="O17" s="5">
        <f t="shared" ref="O17" si="10">IF(O18&lt;&gt;".",IF(O18+O19&lt;&gt;0,IF(O18+O19+P17=3,1,MOD(O18+O19+P17-1,2)),0),P17)</f>
        <v>1</v>
      </c>
      <c r="P17" s="9">
        <f t="shared" ref="P17" si="11">IF(P18&lt;&gt;".",IF(P18+P19&lt;&gt;0,IF(P18+P19+Q17=3,1,MOD(P18+P19+Q17-1,2)),0),Q17)</f>
        <v>0</v>
      </c>
      <c r="Q17" s="5">
        <f t="shared" ref="Q17" si="12">IF(Q18&lt;&gt;".",IF(Q18+Q19&lt;&gt;0,IF(Q18+Q19+R17=3,1,MOD(Q18+Q19+R17-1,2)),0),R17)</f>
        <v>0</v>
      </c>
      <c r="R17" s="5">
        <f t="shared" ref="R17" si="13">IF(R18&lt;&gt;".",IF(R18+R19&lt;&gt;0,IF(R18+R19+S17=3,1,MOD(R18+R19+S17-1,2)),0),S17)</f>
        <v>0</v>
      </c>
      <c r="S17" s="5">
        <f t="shared" ref="S17" si="14">IF(S18&lt;&gt;".",IF(S18+S19&lt;&gt;0,IF(S18+S19+T17=3,1,MOD(S18+S19+T17-1,2)),0),T17)</f>
        <v>0</v>
      </c>
      <c r="T17" s="5">
        <f t="shared" ref="T17" si="15">IF(T18&lt;&gt;".",IF(T18+T19&lt;&gt;0,IF(T18+T19+U17=3,1,MOD(T18+T19+U17-1,2)),0),U17)</f>
        <v>1</v>
      </c>
      <c r="U17" s="9">
        <f>IF(U18&lt;&gt;".",IF(U18+U19&lt;&gt;0,IF(U18+U19+V17=3,1,MOD(U18+U19+V17-1,2)),0),V17)</f>
        <v>1</v>
      </c>
      <c r="V17" s="5">
        <f t="shared" ref="V17" si="16">IF(V18&lt;&gt;".",IF(V18+V19&lt;&gt;0,IF(V18+V19+W17=3,1,MOD(V18+V19+W17-1,2)),0),W17)</f>
        <v>1</v>
      </c>
      <c r="W17" s="5">
        <f t="shared" ref="W17" si="17">IF(W18&lt;&gt;".",IF(W18+W19&lt;&gt;0,IF(W18+W19+X17=3,1,MOD(W18+W19+X17-1,2)),0),X17)</f>
        <v>1</v>
      </c>
      <c r="X17" s="5">
        <f t="shared" ref="X17" si="18">IF(X18&lt;&gt;".",IF(X18+X19&lt;&gt;0,IF(X18+X19+Y17=3,1,MOD(X18+X19+Y17-1,2)),0),Y17)</f>
        <v>1</v>
      </c>
      <c r="Y17" s="5">
        <f>IF(Y18&lt;&gt;".",IF(Y18+Y19&lt;&gt;0,IF(Y18+Y19+Z17=3,1,MOD(Y18+Y19+Z17-1,2)),0),Z17)</f>
        <v>0</v>
      </c>
    </row>
    <row r="18" spans="4:33" ht="18" x14ac:dyDescent="0.35">
      <c r="E18" s="6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1</v>
      </c>
      <c r="J18" s="4" t="str">
        <f t="shared" si="19"/>
        <v>1</v>
      </c>
      <c r="K18" s="4" t="str">
        <f t="shared" si="19"/>
        <v>.</v>
      </c>
      <c r="L18" s="4" t="str">
        <f t="shared" si="19"/>
        <v>1</v>
      </c>
      <c r="M18" s="4" t="str">
        <f t="shared" si="19"/>
        <v>0</v>
      </c>
      <c r="N18" s="4" t="str">
        <f t="shared" si="19"/>
        <v>1</v>
      </c>
      <c r="O18" s="4" t="str">
        <f t="shared" si="19"/>
        <v>1</v>
      </c>
      <c r="P18" s="4" t="str">
        <f t="shared" si="19"/>
        <v>.</v>
      </c>
      <c r="Q18" s="4" t="str">
        <f t="shared" si="19"/>
        <v>0</v>
      </c>
      <c r="R18" s="4" t="str">
        <f t="shared" si="19"/>
        <v>0</v>
      </c>
      <c r="S18" s="4" t="str">
        <f t="shared" si="19"/>
        <v>0</v>
      </c>
      <c r="T18" s="4" t="str">
        <f t="shared" si="19"/>
        <v>0</v>
      </c>
      <c r="U18" s="4" t="str">
        <f t="shared" si="19"/>
        <v>.</v>
      </c>
      <c r="V18" s="4" t="str">
        <f t="shared" si="19"/>
        <v>1</v>
      </c>
      <c r="W18" s="4" t="str">
        <f t="shared" si="19"/>
        <v>0</v>
      </c>
      <c r="X18" s="4" t="str">
        <f t="shared" si="19"/>
        <v>1</v>
      </c>
      <c r="Y18" s="4" t="str">
        <f t="shared" si="19"/>
        <v>0</v>
      </c>
      <c r="AC18" t="s">
        <v>42</v>
      </c>
      <c r="AD18">
        <f>C4</f>
        <v>15114</v>
      </c>
    </row>
    <row r="19" spans="4:33" ht="18" x14ac:dyDescent="0.35">
      <c r="D19" s="3" t="s">
        <v>37</v>
      </c>
      <c r="E19" t="s">
        <v>39</v>
      </c>
      <c r="G19" s="8" t="str">
        <f>G5</f>
        <v>0</v>
      </c>
      <c r="H19" s="8" t="str">
        <f t="shared" ref="H19:Y19" si="20">H5</f>
        <v>0</v>
      </c>
      <c r="I19" s="8" t="str">
        <f t="shared" si="20"/>
        <v>1</v>
      </c>
      <c r="J19" s="8" t="str">
        <f t="shared" si="20"/>
        <v>1</v>
      </c>
      <c r="K19" s="8" t="str">
        <f t="shared" si="20"/>
        <v>.</v>
      </c>
      <c r="L19" s="8" t="str">
        <f t="shared" si="20"/>
        <v>1</v>
      </c>
      <c r="M19" s="8" t="str">
        <f t="shared" si="20"/>
        <v>1</v>
      </c>
      <c r="N19" s="8" t="str">
        <f t="shared" si="20"/>
        <v>0</v>
      </c>
      <c r="O19" s="8" t="str">
        <f t="shared" si="20"/>
        <v>1</v>
      </c>
      <c r="P19" s="8" t="str">
        <f t="shared" si="20"/>
        <v>.</v>
      </c>
      <c r="Q19" s="8" t="str">
        <f t="shared" si="20"/>
        <v>0</v>
      </c>
      <c r="R19" s="8" t="str">
        <f t="shared" si="20"/>
        <v>0</v>
      </c>
      <c r="S19" s="8" t="str">
        <f t="shared" si="20"/>
        <v>0</v>
      </c>
      <c r="T19" s="8" t="str">
        <f t="shared" si="20"/>
        <v>1</v>
      </c>
      <c r="U19" s="8" t="str">
        <f t="shared" si="20"/>
        <v>.</v>
      </c>
      <c r="V19" s="8" t="str">
        <f>V5</f>
        <v>0</v>
      </c>
      <c r="W19" s="8" t="str">
        <f t="shared" si="20"/>
        <v>1</v>
      </c>
      <c r="X19" s="8" t="str">
        <f t="shared" si="20"/>
        <v>1</v>
      </c>
      <c r="Y19" s="8" t="str">
        <f t="shared" si="20"/>
        <v>0</v>
      </c>
      <c r="AB19" s="3" t="s">
        <v>37</v>
      </c>
      <c r="AC19" s="7" t="s">
        <v>43</v>
      </c>
      <c r="AD19" s="7">
        <f>C5</f>
        <v>15638</v>
      </c>
      <c r="AG19" t="str">
        <f>IF(W22=0,IF(AND(AA20=AD20,H22=0),$AG$2,$AG$4),IF(G20=0,$AG$5,$AG$3))</f>
        <v>Результат корректный</v>
      </c>
    </row>
    <row r="20" spans="4:33" ht="18" x14ac:dyDescent="0.3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0</v>
      </c>
      <c r="N20" s="4">
        <f t="shared" si="21"/>
        <v>0</v>
      </c>
      <c r="O20" s="4">
        <f t="shared" si="21"/>
        <v>0</v>
      </c>
      <c r="P20" s="4" t="str">
        <f t="shared" si="21"/>
        <v>.</v>
      </c>
      <c r="Q20" s="4">
        <f t="shared" si="21"/>
        <v>0</v>
      </c>
      <c r="R20" s="4">
        <f t="shared" si="21"/>
        <v>0</v>
      </c>
      <c r="S20" s="4">
        <f t="shared" si="21"/>
        <v>1</v>
      </c>
      <c r="T20" s="4">
        <f t="shared" si="21"/>
        <v>0</v>
      </c>
      <c r="U20" s="4" t="str">
        <f t="shared" si="21"/>
        <v>.</v>
      </c>
      <c r="V20" s="4">
        <f t="shared" si="21"/>
        <v>0</v>
      </c>
      <c r="W20" s="4">
        <f t="shared" si="21"/>
        <v>0</v>
      </c>
      <c r="X20" s="4">
        <f t="shared" si="21"/>
        <v>0</v>
      </c>
      <c r="Y20" s="4">
        <f>IF(Y18&lt;&gt;".",MOD(Z17+Y18+Y19,2),".")</f>
        <v>0</v>
      </c>
      <c r="Z20" s="10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30752</v>
      </c>
      <c r="AB20" s="10" t="s">
        <v>44</v>
      </c>
      <c r="AD20">
        <f>AD18+AD19</f>
        <v>30752</v>
      </c>
      <c r="AE20" s="10" t="s">
        <v>44</v>
      </c>
    </row>
    <row r="21" spans="4:33" x14ac:dyDescent="0.25">
      <c r="E21" t="s">
        <v>66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25">
      <c r="G22" t="s">
        <v>45</v>
      </c>
      <c r="H22" s="2">
        <f>G17</f>
        <v>0</v>
      </c>
      <c r="J22" t="s">
        <v>46</v>
      </c>
      <c r="K22" s="2">
        <f>MOD(SUM(V20:Y20)+SUM(Q20:T20)+1,2)</f>
        <v>0</v>
      </c>
      <c r="M22" t="s">
        <v>47</v>
      </c>
      <c r="N22" s="2">
        <f>U17</f>
        <v>1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25"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9">
        <f t="shared" si="23"/>
        <v>1</v>
      </c>
      <c r="L25" s="5">
        <f t="shared" si="23"/>
        <v>1</v>
      </c>
      <c r="M25" s="5">
        <f t="shared" si="23"/>
        <v>0</v>
      </c>
      <c r="N25" s="5">
        <f t="shared" si="23"/>
        <v>0</v>
      </c>
      <c r="O25" s="5">
        <f t="shared" si="23"/>
        <v>0</v>
      </c>
      <c r="P25" s="9">
        <f t="shared" si="23"/>
        <v>0</v>
      </c>
      <c r="Q25" s="5">
        <f t="shared" si="23"/>
        <v>0</v>
      </c>
      <c r="R25" s="5">
        <f t="shared" si="23"/>
        <v>0</v>
      </c>
      <c r="S25" s="5">
        <f t="shared" si="23"/>
        <v>0</v>
      </c>
      <c r="T25" s="5">
        <f t="shared" si="23"/>
        <v>0</v>
      </c>
      <c r="U25" s="9">
        <f t="shared" si="23"/>
        <v>0</v>
      </c>
      <c r="V25" s="5">
        <f t="shared" si="23"/>
        <v>0</v>
      </c>
      <c r="W25" s="5">
        <f t="shared" si="23"/>
        <v>0</v>
      </c>
      <c r="X25" s="5">
        <f t="shared" si="23"/>
        <v>0</v>
      </c>
      <c r="Y25" s="5">
        <f t="shared" si="23"/>
        <v>0</v>
      </c>
    </row>
    <row r="26" spans="4:33" ht="18" x14ac:dyDescent="0.35">
      <c r="E26" t="s">
        <v>39</v>
      </c>
      <c r="G26" s="4" t="str">
        <f>G5</f>
        <v>0</v>
      </c>
      <c r="H26" s="4" t="str">
        <f t="shared" ref="H26:Y26" si="24">H5</f>
        <v>0</v>
      </c>
      <c r="I26" s="4" t="str">
        <f t="shared" si="24"/>
        <v>1</v>
      </c>
      <c r="J26" s="4" t="str">
        <f t="shared" si="24"/>
        <v>1</v>
      </c>
      <c r="K26" s="4" t="str">
        <f t="shared" si="24"/>
        <v>.</v>
      </c>
      <c r="L26" s="4" t="str">
        <f t="shared" si="24"/>
        <v>1</v>
      </c>
      <c r="M26" s="4" t="str">
        <f t="shared" si="24"/>
        <v>1</v>
      </c>
      <c r="N26" s="4" t="str">
        <f t="shared" si="24"/>
        <v>0</v>
      </c>
      <c r="O26" s="4" t="str">
        <f t="shared" si="24"/>
        <v>1</v>
      </c>
      <c r="P26" s="4" t="str">
        <f t="shared" si="24"/>
        <v>.</v>
      </c>
      <c r="Q26" s="4" t="str">
        <f t="shared" si="24"/>
        <v>0</v>
      </c>
      <c r="R26" s="4" t="str">
        <f t="shared" si="24"/>
        <v>0</v>
      </c>
      <c r="S26" s="4" t="str">
        <f t="shared" si="24"/>
        <v>0</v>
      </c>
      <c r="T26" s="4" t="str">
        <f t="shared" si="24"/>
        <v>1</v>
      </c>
      <c r="U26" s="4" t="str">
        <f t="shared" si="24"/>
        <v>.</v>
      </c>
      <c r="V26" s="4" t="str">
        <f t="shared" si="24"/>
        <v>0</v>
      </c>
      <c r="W26" s="4" t="str">
        <f t="shared" si="24"/>
        <v>1</v>
      </c>
      <c r="X26" s="4" t="str">
        <f t="shared" si="24"/>
        <v>1</v>
      </c>
      <c r="Y26" s="4" t="str">
        <f t="shared" si="24"/>
        <v>0</v>
      </c>
      <c r="AC26" t="s">
        <v>43</v>
      </c>
      <c r="AD26">
        <f>C5</f>
        <v>15638</v>
      </c>
    </row>
    <row r="27" spans="4:33" ht="18" x14ac:dyDescent="0.35">
      <c r="D27" s="1" t="s">
        <v>37</v>
      </c>
      <c r="E27" t="s">
        <v>51</v>
      </c>
      <c r="G27" s="8" t="str">
        <f>G6</f>
        <v>0</v>
      </c>
      <c r="H27" s="8" t="str">
        <f t="shared" ref="H27:Y27" si="25">H6</f>
        <v>1</v>
      </c>
      <c r="I27" s="8" t="str">
        <f t="shared" si="25"/>
        <v>1</v>
      </c>
      <c r="J27" s="8" t="str">
        <f t="shared" si="25"/>
        <v>1</v>
      </c>
      <c r="K27" s="8" t="str">
        <f t="shared" si="25"/>
        <v>.</v>
      </c>
      <c r="L27" s="8" t="str">
        <f t="shared" si="25"/>
        <v>1</v>
      </c>
      <c r="M27" s="8" t="str">
        <f t="shared" si="25"/>
        <v>0</v>
      </c>
      <c r="N27" s="8" t="str">
        <f t="shared" si="25"/>
        <v>0</v>
      </c>
      <c r="O27" s="8" t="str">
        <f t="shared" si="25"/>
        <v>0</v>
      </c>
      <c r="P27" s="8" t="str">
        <f t="shared" si="25"/>
        <v>.</v>
      </c>
      <c r="Q27" s="8" t="str">
        <f t="shared" si="25"/>
        <v>0</v>
      </c>
      <c r="R27" s="8" t="str">
        <f t="shared" si="25"/>
        <v>0</v>
      </c>
      <c r="S27" s="8" t="str">
        <f t="shared" si="25"/>
        <v>1</v>
      </c>
      <c r="T27" s="8" t="str">
        <f t="shared" si="25"/>
        <v>0</v>
      </c>
      <c r="U27" s="8" t="str">
        <f t="shared" si="25"/>
        <v>.</v>
      </c>
      <c r="V27" s="8" t="str">
        <f t="shared" si="25"/>
        <v>0</v>
      </c>
      <c r="W27" s="8" t="str">
        <f t="shared" si="25"/>
        <v>0</v>
      </c>
      <c r="X27" s="8" t="str">
        <f t="shared" si="25"/>
        <v>0</v>
      </c>
      <c r="Y27" s="8" t="str">
        <f t="shared" si="25"/>
        <v>0</v>
      </c>
      <c r="AB27" s="3" t="s">
        <v>37</v>
      </c>
      <c r="AC27" s="7" t="s">
        <v>52</v>
      </c>
      <c r="AD27" s="7">
        <f>C6</f>
        <v>30752</v>
      </c>
      <c r="AG27" t="str">
        <f>IF(W30=0,IF(AND(AA28=AD28,H30=0),$AG$2,$AG$4),IF(G28=0,$AG$5,$AG$3))</f>
        <v>При сложении двух положительных слагаемых получен отрицательный результат ПЕРЕПОЛНЕНИЕ!</v>
      </c>
    </row>
    <row r="28" spans="4:33" ht="18" x14ac:dyDescent="0.35">
      <c r="G28" s="4">
        <f>IF(G26&lt;&gt;".",MOD(H25+G26+G27,2),".")</f>
        <v>1</v>
      </c>
      <c r="H28" s="4">
        <f t="shared" ref="H28:Y28" si="26">IF(H26&lt;&gt;".",MOD(I25+H26+H27,2),".")</f>
        <v>0</v>
      </c>
      <c r="I28" s="4">
        <f t="shared" si="26"/>
        <v>1</v>
      </c>
      <c r="J28" s="4">
        <f t="shared" si="26"/>
        <v>1</v>
      </c>
      <c r="K28" s="4" t="str">
        <f t="shared" si="26"/>
        <v>.</v>
      </c>
      <c r="L28" s="4">
        <f t="shared" si="26"/>
        <v>0</v>
      </c>
      <c r="M28" s="4">
        <f t="shared" si="26"/>
        <v>1</v>
      </c>
      <c r="N28" s="4">
        <f t="shared" si="26"/>
        <v>0</v>
      </c>
      <c r="O28" s="4">
        <f t="shared" si="26"/>
        <v>1</v>
      </c>
      <c r="P28" s="4" t="str">
        <f t="shared" si="26"/>
        <v>.</v>
      </c>
      <c r="Q28" s="4">
        <f t="shared" si="26"/>
        <v>0</v>
      </c>
      <c r="R28" s="4">
        <f t="shared" si="26"/>
        <v>0</v>
      </c>
      <c r="S28" s="4">
        <f t="shared" si="26"/>
        <v>1</v>
      </c>
      <c r="T28" s="4">
        <f t="shared" si="26"/>
        <v>1</v>
      </c>
      <c r="U28" s="4" t="str">
        <f t="shared" si="26"/>
        <v>.</v>
      </c>
      <c r="V28" s="4">
        <f t="shared" si="26"/>
        <v>0</v>
      </c>
      <c r="W28" s="4">
        <f t="shared" si="26"/>
        <v>1</v>
      </c>
      <c r="X28" s="4">
        <f t="shared" si="26"/>
        <v>1</v>
      </c>
      <c r="Y28" s="4">
        <f t="shared" si="26"/>
        <v>0</v>
      </c>
      <c r="Z28" s="10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-19146</v>
      </c>
      <c r="AB28" s="10" t="s">
        <v>44</v>
      </c>
      <c r="AD28">
        <f>AD26+AD27</f>
        <v>46390</v>
      </c>
      <c r="AE28" s="10" t="s">
        <v>44</v>
      </c>
    </row>
    <row r="29" spans="4:33" x14ac:dyDescent="0.25">
      <c r="E29" t="s">
        <v>66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1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0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0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1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1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1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0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2"/>
    </row>
    <row r="30" spans="4:33" x14ac:dyDescent="0.25">
      <c r="G30" t="s">
        <v>45</v>
      </c>
      <c r="H30" s="2">
        <f>G25</f>
        <v>0</v>
      </c>
      <c r="J30" t="s">
        <v>46</v>
      </c>
      <c r="K30" s="2">
        <f>MOD(SUM(V28:Y28)+SUM(Q28:T28)+1,2)</f>
        <v>1</v>
      </c>
      <c r="M30" t="s">
        <v>47</v>
      </c>
      <c r="N30" s="2">
        <f>U25</f>
        <v>0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25"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1</v>
      </c>
      <c r="K33" s="9">
        <f t="shared" si="45"/>
        <v>1</v>
      </c>
      <c r="L33" s="5">
        <f t="shared" si="45"/>
        <v>1</v>
      </c>
      <c r="M33" s="5">
        <f t="shared" si="45"/>
        <v>1</v>
      </c>
      <c r="N33" s="5">
        <f t="shared" si="45"/>
        <v>0</v>
      </c>
      <c r="O33" s="5">
        <f t="shared" si="45"/>
        <v>1</v>
      </c>
      <c r="P33" s="9">
        <f t="shared" si="45"/>
        <v>1</v>
      </c>
      <c r="Q33" s="5">
        <f t="shared" si="45"/>
        <v>1</v>
      </c>
      <c r="R33" s="5">
        <f t="shared" si="45"/>
        <v>1</v>
      </c>
      <c r="S33" s="5">
        <f t="shared" si="45"/>
        <v>1</v>
      </c>
      <c r="T33" s="5">
        <f t="shared" si="45"/>
        <v>1</v>
      </c>
      <c r="U33" s="9">
        <f t="shared" si="45"/>
        <v>0</v>
      </c>
      <c r="V33" s="5">
        <f t="shared" si="45"/>
        <v>0</v>
      </c>
      <c r="W33" s="5">
        <f t="shared" si="45"/>
        <v>1</v>
      </c>
      <c r="X33" s="5">
        <f t="shared" si="45"/>
        <v>1</v>
      </c>
      <c r="Y33" s="5">
        <f t="shared" si="45"/>
        <v>0</v>
      </c>
    </row>
    <row r="34" spans="4:33" ht="18" x14ac:dyDescent="0.35">
      <c r="E34" t="s">
        <v>39</v>
      </c>
      <c r="G34" s="4" t="str">
        <f>G5</f>
        <v>0</v>
      </c>
      <c r="H34" s="4" t="str">
        <f t="shared" ref="H34:Y34" si="46">H5</f>
        <v>0</v>
      </c>
      <c r="I34" s="4" t="str">
        <f t="shared" si="46"/>
        <v>1</v>
      </c>
      <c r="J34" s="4" t="str">
        <f t="shared" si="46"/>
        <v>1</v>
      </c>
      <c r="K34" s="4" t="str">
        <f t="shared" si="46"/>
        <v>.</v>
      </c>
      <c r="L34" s="4" t="str">
        <f t="shared" si="46"/>
        <v>1</v>
      </c>
      <c r="M34" s="4" t="str">
        <f t="shared" si="46"/>
        <v>1</v>
      </c>
      <c r="N34" s="4" t="str">
        <f t="shared" si="46"/>
        <v>0</v>
      </c>
      <c r="O34" s="4" t="str">
        <f t="shared" si="46"/>
        <v>1</v>
      </c>
      <c r="P34" s="4" t="str">
        <f t="shared" si="46"/>
        <v>.</v>
      </c>
      <c r="Q34" s="4" t="str">
        <f t="shared" si="46"/>
        <v>0</v>
      </c>
      <c r="R34" s="4" t="str">
        <f t="shared" si="46"/>
        <v>0</v>
      </c>
      <c r="S34" s="4" t="str">
        <f t="shared" si="46"/>
        <v>0</v>
      </c>
      <c r="T34" s="4" t="str">
        <f t="shared" si="46"/>
        <v>1</v>
      </c>
      <c r="U34" s="4" t="str">
        <f t="shared" si="46"/>
        <v>.</v>
      </c>
      <c r="V34" s="4" t="str">
        <f t="shared" si="46"/>
        <v>0</v>
      </c>
      <c r="W34" s="4" t="str">
        <f t="shared" si="46"/>
        <v>1</v>
      </c>
      <c r="X34" s="4" t="str">
        <f t="shared" si="46"/>
        <v>1</v>
      </c>
      <c r="Y34" s="4" t="str">
        <f t="shared" si="46"/>
        <v>0</v>
      </c>
      <c r="AC34" t="s">
        <v>43</v>
      </c>
      <c r="AD34">
        <f>C5</f>
        <v>15638</v>
      </c>
    </row>
    <row r="35" spans="4:33" ht="18" x14ac:dyDescent="0.35">
      <c r="D35" s="1" t="s">
        <v>37</v>
      </c>
      <c r="E35" t="s">
        <v>53</v>
      </c>
      <c r="G35" s="8" t="str">
        <f>G10</f>
        <v>1</v>
      </c>
      <c r="H35" s="8" t="str">
        <f t="shared" ref="H35:Y35" si="47">H10</f>
        <v>1</v>
      </c>
      <c r="I35" s="8" t="str">
        <f t="shared" si="47"/>
        <v>0</v>
      </c>
      <c r="J35" s="8" t="str">
        <f t="shared" si="47"/>
        <v>0</v>
      </c>
      <c r="K35" s="8" t="str">
        <f t="shared" si="47"/>
        <v>.</v>
      </c>
      <c r="L35" s="8" t="str">
        <f t="shared" si="47"/>
        <v>0</v>
      </c>
      <c r="M35" s="8" t="str">
        <f t="shared" si="47"/>
        <v>1</v>
      </c>
      <c r="N35" s="8" t="str">
        <f t="shared" si="47"/>
        <v>0</v>
      </c>
      <c r="O35" s="8" t="str">
        <f t="shared" si="47"/>
        <v>0</v>
      </c>
      <c r="P35" s="8" t="str">
        <f t="shared" si="47"/>
        <v>.</v>
      </c>
      <c r="Q35" s="8" t="str">
        <f t="shared" si="47"/>
        <v>1</v>
      </c>
      <c r="R35" s="8" t="str">
        <f t="shared" si="47"/>
        <v>1</v>
      </c>
      <c r="S35" s="8" t="str">
        <f t="shared" si="47"/>
        <v>1</v>
      </c>
      <c r="T35" s="8" t="str">
        <f t="shared" si="47"/>
        <v>1</v>
      </c>
      <c r="U35" s="8" t="str">
        <f t="shared" si="47"/>
        <v>.</v>
      </c>
      <c r="V35" s="8" t="str">
        <f t="shared" si="47"/>
        <v>0</v>
      </c>
      <c r="W35" s="8" t="str">
        <f t="shared" si="47"/>
        <v>1</v>
      </c>
      <c r="X35" s="8" t="str">
        <f t="shared" si="47"/>
        <v>1</v>
      </c>
      <c r="Y35" s="8" t="str">
        <f t="shared" si="47"/>
        <v>0</v>
      </c>
      <c r="AB35" s="3" t="s">
        <v>37</v>
      </c>
      <c r="AC35" s="7" t="s">
        <v>54</v>
      </c>
      <c r="AD35" s="7">
        <f>C10</f>
        <v>-15114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8" x14ac:dyDescent="0.35">
      <c r="G36" s="4">
        <f>IF(G34&lt;&gt;".",MOD(H33+G34+G35,2),".")</f>
        <v>0</v>
      </c>
      <c r="H36" s="4">
        <f t="shared" ref="H36:Y36" si="48">IF(H34&lt;&gt;".",MOD(I33+H34+H35,2),".")</f>
        <v>0</v>
      </c>
      <c r="I36" s="4">
        <f t="shared" si="48"/>
        <v>0</v>
      </c>
      <c r="J36" s="4">
        <f t="shared" si="48"/>
        <v>0</v>
      </c>
      <c r="K36" s="4" t="str">
        <f t="shared" si="48"/>
        <v>.</v>
      </c>
      <c r="L36" s="4">
        <f t="shared" si="48"/>
        <v>0</v>
      </c>
      <c r="M36" s="4">
        <f t="shared" si="48"/>
        <v>0</v>
      </c>
      <c r="N36" s="4">
        <f t="shared" si="48"/>
        <v>1</v>
      </c>
      <c r="O36" s="4">
        <f t="shared" si="48"/>
        <v>0</v>
      </c>
      <c r="P36" s="4" t="str">
        <f t="shared" si="48"/>
        <v>.</v>
      </c>
      <c r="Q36" s="4">
        <f t="shared" si="48"/>
        <v>0</v>
      </c>
      <c r="R36" s="4">
        <f t="shared" si="48"/>
        <v>0</v>
      </c>
      <c r="S36" s="4">
        <f t="shared" si="48"/>
        <v>0</v>
      </c>
      <c r="T36" s="4">
        <f t="shared" si="48"/>
        <v>0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0</v>
      </c>
      <c r="Y36" s="4">
        <f t="shared" si="48"/>
        <v>0</v>
      </c>
      <c r="Z36" s="10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524</v>
      </c>
      <c r="AB36" s="10" t="s">
        <v>44</v>
      </c>
      <c r="AD36">
        <f>AD34+AD35</f>
        <v>524</v>
      </c>
    </row>
    <row r="37" spans="4:33" x14ac:dyDescent="0.25">
      <c r="E37" t="s">
        <v>66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25">
      <c r="G38" t="s">
        <v>45</v>
      </c>
      <c r="H38" s="2">
        <f>G33</f>
        <v>1</v>
      </c>
      <c r="J38" t="s">
        <v>46</v>
      </c>
      <c r="K38" s="2">
        <f>MOD(SUM(V36:Y36)+SUM(Q36:T36)+1,2)</f>
        <v>1</v>
      </c>
      <c r="M38" t="s">
        <v>47</v>
      </c>
      <c r="N38" s="2">
        <f>U33</f>
        <v>0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25"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0</v>
      </c>
      <c r="J41" s="5">
        <f t="shared" si="50"/>
        <v>0</v>
      </c>
      <c r="K41" s="9">
        <f t="shared" si="50"/>
        <v>0</v>
      </c>
      <c r="L41" s="5">
        <f t="shared" si="50"/>
        <v>0</v>
      </c>
      <c r="M41" s="5">
        <f t="shared" si="50"/>
        <v>0</v>
      </c>
      <c r="N41" s="5">
        <f t="shared" si="50"/>
        <v>0</v>
      </c>
      <c r="O41" s="5">
        <f t="shared" si="50"/>
        <v>0</v>
      </c>
      <c r="P41" s="9">
        <f t="shared" si="50"/>
        <v>1</v>
      </c>
      <c r="Q41" s="5">
        <f t="shared" si="50"/>
        <v>1</v>
      </c>
      <c r="R41" s="5">
        <f t="shared" si="50"/>
        <v>1</v>
      </c>
      <c r="S41" s="5">
        <f t="shared" si="50"/>
        <v>1</v>
      </c>
      <c r="T41" s="5">
        <f t="shared" si="50"/>
        <v>1</v>
      </c>
      <c r="U41" s="9">
        <f t="shared" si="50"/>
        <v>1</v>
      </c>
      <c r="V41" s="5">
        <f t="shared" si="50"/>
        <v>1</v>
      </c>
      <c r="W41" s="5">
        <f t="shared" si="50"/>
        <v>1</v>
      </c>
      <c r="X41" s="5">
        <f t="shared" si="50"/>
        <v>1</v>
      </c>
      <c r="Y41" s="5">
        <f t="shared" si="50"/>
        <v>0</v>
      </c>
    </row>
    <row r="42" spans="4:33" ht="18" x14ac:dyDescent="0.3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0</v>
      </c>
      <c r="J42" s="4" t="str">
        <f t="shared" si="51"/>
        <v>0</v>
      </c>
      <c r="K42" s="4" t="str">
        <f t="shared" si="51"/>
        <v>.</v>
      </c>
      <c r="L42" s="4" t="str">
        <f t="shared" si="51"/>
        <v>0</v>
      </c>
      <c r="M42" s="4" t="str">
        <f t="shared" si="51"/>
        <v>1</v>
      </c>
      <c r="N42" s="4" t="str">
        <f t="shared" si="51"/>
        <v>0</v>
      </c>
      <c r="O42" s="4" t="str">
        <f t="shared" si="51"/>
        <v>0</v>
      </c>
      <c r="P42" s="4" t="str">
        <f t="shared" si="51"/>
        <v>.</v>
      </c>
      <c r="Q42" s="4" t="str">
        <f t="shared" si="51"/>
        <v>1</v>
      </c>
      <c r="R42" s="4" t="str">
        <f t="shared" si="51"/>
        <v>1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1</v>
      </c>
      <c r="Y42" s="4" t="str">
        <f t="shared" si="51"/>
        <v>0</v>
      </c>
      <c r="AC42" t="s">
        <v>54</v>
      </c>
      <c r="AD42">
        <f>C10</f>
        <v>-15114</v>
      </c>
    </row>
    <row r="43" spans="4:33" ht="18" x14ac:dyDescent="0.35">
      <c r="D43" s="1" t="s">
        <v>37</v>
      </c>
      <c r="E43" t="s">
        <v>55</v>
      </c>
      <c r="G43" s="8" t="str">
        <f>G11</f>
        <v>1</v>
      </c>
      <c r="H43" s="8" t="str">
        <f t="shared" ref="H43:Y43" si="52">H11</f>
        <v>1</v>
      </c>
      <c r="I43" s="8" t="str">
        <f t="shared" si="52"/>
        <v>0</v>
      </c>
      <c r="J43" s="8" t="str">
        <f t="shared" si="52"/>
        <v>0</v>
      </c>
      <c r="K43" s="8" t="str">
        <f t="shared" si="52"/>
        <v>.</v>
      </c>
      <c r="L43" s="8" t="str">
        <f t="shared" si="52"/>
        <v>0</v>
      </c>
      <c r="M43" s="8" t="str">
        <f t="shared" si="52"/>
        <v>0</v>
      </c>
      <c r="N43" s="8" t="str">
        <f t="shared" si="52"/>
        <v>1</v>
      </c>
      <c r="O43" s="8" t="str">
        <f t="shared" si="52"/>
        <v>0</v>
      </c>
      <c r="P43" s="8" t="str">
        <f t="shared" si="52"/>
        <v>.</v>
      </c>
      <c r="Q43" s="8" t="str">
        <f t="shared" si="52"/>
        <v>1</v>
      </c>
      <c r="R43" s="8" t="str">
        <f t="shared" si="52"/>
        <v>1</v>
      </c>
      <c r="S43" s="8" t="str">
        <f t="shared" si="52"/>
        <v>1</v>
      </c>
      <c r="T43" s="8" t="str">
        <f t="shared" si="52"/>
        <v>0</v>
      </c>
      <c r="U43" s="8" t="str">
        <f t="shared" si="52"/>
        <v>.</v>
      </c>
      <c r="V43" s="8" t="str">
        <f t="shared" si="52"/>
        <v>1</v>
      </c>
      <c r="W43" s="8" t="str">
        <f t="shared" si="52"/>
        <v>0</v>
      </c>
      <c r="X43" s="8" t="str">
        <f t="shared" si="52"/>
        <v>1</v>
      </c>
      <c r="Y43" s="8" t="str">
        <f t="shared" si="52"/>
        <v>0</v>
      </c>
      <c r="AB43" s="3" t="s">
        <v>37</v>
      </c>
      <c r="AC43" s="7" t="s">
        <v>56</v>
      </c>
      <c r="AD43" s="7">
        <f>C11</f>
        <v>-15638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8" x14ac:dyDescent="0.3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1</v>
      </c>
      <c r="N44" s="4">
        <f t="shared" si="53"/>
        <v>1</v>
      </c>
      <c r="O44" s="4">
        <f t="shared" si="53"/>
        <v>1</v>
      </c>
      <c r="P44" s="4" t="str">
        <f t="shared" si="53"/>
        <v>.</v>
      </c>
      <c r="Q44" s="4">
        <f t="shared" si="53"/>
        <v>1</v>
      </c>
      <c r="R44" s="4">
        <f t="shared" si="53"/>
        <v>1</v>
      </c>
      <c r="S44" s="4">
        <f t="shared" si="53"/>
        <v>1</v>
      </c>
      <c r="T44" s="4">
        <f t="shared" si="53"/>
        <v>0</v>
      </c>
      <c r="U44" s="4" t="str">
        <f t="shared" si="53"/>
        <v>.</v>
      </c>
      <c r="V44" s="4">
        <f t="shared" si="53"/>
        <v>0</v>
      </c>
      <c r="W44" s="4">
        <f t="shared" si="53"/>
        <v>0</v>
      </c>
      <c r="X44" s="4">
        <f t="shared" si="53"/>
        <v>0</v>
      </c>
      <c r="Y44" s="4">
        <f t="shared" si="53"/>
        <v>0</v>
      </c>
      <c r="Z44" s="10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-30752</v>
      </c>
      <c r="AB44" s="10" t="s">
        <v>44</v>
      </c>
      <c r="AD44">
        <f>AD42+AD43</f>
        <v>-30752</v>
      </c>
    </row>
    <row r="45" spans="4:33" x14ac:dyDescent="0.25">
      <c r="E45" t="s">
        <v>66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0</v>
      </c>
      <c r="N45" s="4" t="str">
        <f t="shared" si="54"/>
        <v>0</v>
      </c>
      <c r="O45" s="4" t="str">
        <f t="shared" si="54"/>
        <v>0</v>
      </c>
      <c r="P45" s="4" t="str">
        <f t="shared" si="54"/>
        <v>.</v>
      </c>
      <c r="Q45" s="4" t="str">
        <f t="shared" si="54"/>
        <v>0</v>
      </c>
      <c r="R45" s="4" t="str">
        <f t="shared" si="54"/>
        <v>0</v>
      </c>
      <c r="S45" s="4" t="str">
        <f t="shared" si="54"/>
        <v>1</v>
      </c>
      <c r="T45" s="4" t="str">
        <f t="shared" si="54"/>
        <v>0</v>
      </c>
      <c r="U45" s="4" t="str">
        <f t="shared" si="54"/>
        <v>.</v>
      </c>
      <c r="V45" s="4" t="str">
        <f t="shared" si="54"/>
        <v>0</v>
      </c>
      <c r="W45" s="4" t="str">
        <f t="shared" si="54"/>
        <v>0</v>
      </c>
      <c r="X45" s="4" t="str">
        <f t="shared" si="54"/>
        <v>0</v>
      </c>
      <c r="Y45" s="4" t="str">
        <f t="shared" si="54"/>
        <v>0</v>
      </c>
    </row>
    <row r="46" spans="4:33" x14ac:dyDescent="0.25">
      <c r="G46" t="s">
        <v>45</v>
      </c>
      <c r="H46" s="2">
        <f>G41</f>
        <v>1</v>
      </c>
      <c r="J46" t="s">
        <v>46</v>
      </c>
      <c r="K46" s="2">
        <f>MOD(SUM(V44:Y44)+SUM(Q44:T44)+1,2)</f>
        <v>0</v>
      </c>
      <c r="M46" t="s">
        <v>47</v>
      </c>
      <c r="N46" s="2">
        <f>U41</f>
        <v>1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25">
      <c r="H47" s="2"/>
    </row>
    <row r="49" spans="4:33" x14ac:dyDescent="0.25"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9">
        <f t="shared" si="55"/>
        <v>0</v>
      </c>
      <c r="L49" s="5">
        <f t="shared" si="55"/>
        <v>0</v>
      </c>
      <c r="M49" s="5">
        <f t="shared" si="55"/>
        <v>1</v>
      </c>
      <c r="N49" s="5">
        <f t="shared" si="55"/>
        <v>1</v>
      </c>
      <c r="O49" s="5">
        <f t="shared" si="55"/>
        <v>1</v>
      </c>
      <c r="P49" s="9">
        <f t="shared" si="55"/>
        <v>1</v>
      </c>
      <c r="Q49" s="5">
        <f t="shared" si="55"/>
        <v>1</v>
      </c>
      <c r="R49" s="5">
        <f t="shared" si="55"/>
        <v>1</v>
      </c>
      <c r="S49" s="5">
        <f t="shared" si="55"/>
        <v>1</v>
      </c>
      <c r="T49" s="5">
        <f t="shared" si="55"/>
        <v>0</v>
      </c>
      <c r="U49" s="9">
        <f t="shared" si="55"/>
        <v>0</v>
      </c>
      <c r="V49" s="5">
        <f t="shared" si="55"/>
        <v>0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8" x14ac:dyDescent="0.35">
      <c r="E50" t="s">
        <v>55</v>
      </c>
      <c r="G50" s="4" t="str">
        <f>G11</f>
        <v>1</v>
      </c>
      <c r="H50" s="4" t="str">
        <f t="shared" ref="H50:Y50" si="56">H11</f>
        <v>1</v>
      </c>
      <c r="I50" s="4" t="str">
        <f t="shared" si="56"/>
        <v>0</v>
      </c>
      <c r="J50" s="4" t="str">
        <f t="shared" si="56"/>
        <v>0</v>
      </c>
      <c r="K50" s="4" t="str">
        <f t="shared" si="56"/>
        <v>.</v>
      </c>
      <c r="L50" s="4" t="str">
        <f t="shared" si="56"/>
        <v>0</v>
      </c>
      <c r="M50" s="4" t="str">
        <f t="shared" si="56"/>
        <v>0</v>
      </c>
      <c r="N50" s="4" t="str">
        <f t="shared" si="56"/>
        <v>1</v>
      </c>
      <c r="O50" s="4" t="str">
        <f t="shared" si="56"/>
        <v>0</v>
      </c>
      <c r="P50" s="4" t="str">
        <f t="shared" si="56"/>
        <v>.</v>
      </c>
      <c r="Q50" s="4" t="str">
        <f t="shared" si="56"/>
        <v>1</v>
      </c>
      <c r="R50" s="4" t="str">
        <f t="shared" si="56"/>
        <v>1</v>
      </c>
      <c r="S50" s="4" t="str">
        <f t="shared" si="56"/>
        <v>1</v>
      </c>
      <c r="T50" s="4" t="str">
        <f t="shared" si="56"/>
        <v>0</v>
      </c>
      <c r="U50" s="4" t="str">
        <f t="shared" si="56"/>
        <v>.</v>
      </c>
      <c r="V50" s="4" t="str">
        <f t="shared" si="56"/>
        <v>1</v>
      </c>
      <c r="W50" s="4" t="str">
        <f t="shared" si="56"/>
        <v>0</v>
      </c>
      <c r="X50" s="4" t="str">
        <f t="shared" si="56"/>
        <v>1</v>
      </c>
      <c r="Y50" s="4" t="str">
        <f t="shared" si="56"/>
        <v>0</v>
      </c>
      <c r="AC50" t="s">
        <v>56</v>
      </c>
      <c r="AD50">
        <f>C11</f>
        <v>-15638</v>
      </c>
    </row>
    <row r="51" spans="4:33" ht="18" x14ac:dyDescent="0.35">
      <c r="D51" s="1" t="s">
        <v>37</v>
      </c>
      <c r="E51" t="s">
        <v>58</v>
      </c>
      <c r="G51" s="8" t="str">
        <f>G12</f>
        <v>1</v>
      </c>
      <c r="H51" s="8" t="str">
        <f t="shared" ref="H51:Y51" si="57">H12</f>
        <v>0</v>
      </c>
      <c r="I51" s="8" t="str">
        <f t="shared" si="57"/>
        <v>0</v>
      </c>
      <c r="J51" s="8" t="str">
        <f t="shared" si="57"/>
        <v>0</v>
      </c>
      <c r="K51" s="8" t="str">
        <f t="shared" si="57"/>
        <v>.</v>
      </c>
      <c r="L51" s="8" t="str">
        <f t="shared" si="57"/>
        <v>0</v>
      </c>
      <c r="M51" s="8" t="str">
        <f t="shared" si="57"/>
        <v>1</v>
      </c>
      <c r="N51" s="8" t="str">
        <f t="shared" si="57"/>
        <v>1</v>
      </c>
      <c r="O51" s="8" t="str">
        <f t="shared" si="57"/>
        <v>1</v>
      </c>
      <c r="P51" s="8" t="str">
        <f t="shared" si="57"/>
        <v>.</v>
      </c>
      <c r="Q51" s="8" t="str">
        <f t="shared" si="57"/>
        <v>1</v>
      </c>
      <c r="R51" s="8" t="str">
        <f t="shared" si="57"/>
        <v>1</v>
      </c>
      <c r="S51" s="8" t="str">
        <f t="shared" si="57"/>
        <v>1</v>
      </c>
      <c r="T51" s="8" t="str">
        <f t="shared" si="57"/>
        <v>0</v>
      </c>
      <c r="U51" s="8" t="str">
        <f t="shared" si="57"/>
        <v>.</v>
      </c>
      <c r="V51" s="8" t="str">
        <f t="shared" si="57"/>
        <v>0</v>
      </c>
      <c r="W51" s="8" t="str">
        <f t="shared" si="57"/>
        <v>0</v>
      </c>
      <c r="X51" s="8" t="str">
        <f t="shared" si="57"/>
        <v>0</v>
      </c>
      <c r="Y51" s="8" t="str">
        <f t="shared" si="57"/>
        <v>0</v>
      </c>
      <c r="AB51" s="3" t="s">
        <v>37</v>
      </c>
      <c r="AC51" s="7" t="s">
        <v>59</v>
      </c>
      <c r="AD51" s="7">
        <f>C12</f>
        <v>-30752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8" x14ac:dyDescent="0.35">
      <c r="G52" s="4">
        <f>IF(G50&lt;&gt;".",MOD(H49+G50+G51,2),".")</f>
        <v>0</v>
      </c>
      <c r="H52" s="4">
        <f t="shared" ref="H52" si="58">IF(H50&lt;&gt;".",MOD(I49+H50+H51,2),".")</f>
        <v>1</v>
      </c>
      <c r="I52" s="4">
        <f t="shared" ref="I52" si="59">IF(I50&lt;&gt;".",MOD(J49+I50+I51,2),".")</f>
        <v>0</v>
      </c>
      <c r="J52" s="4">
        <f t="shared" ref="J52" si="60">IF(J50&lt;&gt;".",MOD(K49+J50+J51,2),".")</f>
        <v>0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1</v>
      </c>
      <c r="M52" s="4">
        <f t="shared" ref="M52" si="63">IF(M50&lt;&gt;".",MOD(N49+M50+M51,2),".")</f>
        <v>0</v>
      </c>
      <c r="N52" s="4">
        <f t="shared" ref="N52" si="64">IF(N50&lt;&gt;".",MOD(O49+N50+N51,2),".")</f>
        <v>1</v>
      </c>
      <c r="O52" s="4">
        <f t="shared" ref="O52" si="65">IF(O50&lt;&gt;".",MOD(P49+O50+O51,2),".")</f>
        <v>0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1</v>
      </c>
      <c r="R52" s="4">
        <f t="shared" ref="R52" si="68">IF(R50&lt;&gt;".",MOD(S49+R50+R51,2),".")</f>
        <v>1</v>
      </c>
      <c r="S52" s="4">
        <f t="shared" ref="S52" si="69">IF(S50&lt;&gt;".",MOD(T49+S50+S51,2),".")</f>
        <v>0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1</v>
      </c>
      <c r="W52" s="4">
        <f t="shared" ref="W52" si="73">IF(W50&lt;&gt;".",MOD(X49+W50+W51,2),".")</f>
        <v>0</v>
      </c>
      <c r="X52" s="4">
        <f t="shared" ref="X52" si="74">IF(X50&lt;&gt;".",MOD(Y49+X50+X51,2),".")</f>
        <v>1</v>
      </c>
      <c r="Y52" s="4">
        <f t="shared" ref="Y52" si="75">IF(Y50&lt;&gt;".",MOD(Z49+Y50+Y51,2),".")</f>
        <v>0</v>
      </c>
      <c r="Z52" s="10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19146</v>
      </c>
      <c r="AB52" s="10" t="s">
        <v>44</v>
      </c>
      <c r="AD52">
        <f>AD50+AD51</f>
        <v>-46390</v>
      </c>
    </row>
    <row r="53" spans="4:33" x14ac:dyDescent="0.25">
      <c r="E53" t="s">
        <v>66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25">
      <c r="G54" t="s">
        <v>45</v>
      </c>
      <c r="H54" s="2">
        <f>G49</f>
        <v>1</v>
      </c>
      <c r="J54" t="s">
        <v>46</v>
      </c>
      <c r="K54" s="2">
        <f>MOD(SUM(V52:Y52)+SUM(Q52:T52)+1,2)</f>
        <v>1</v>
      </c>
      <c r="M54" t="s">
        <v>47</v>
      </c>
      <c r="N54" s="2">
        <f>U49</f>
        <v>0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25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0</v>
      </c>
      <c r="K57" s="9">
        <f t="shared" si="77"/>
        <v>0</v>
      </c>
      <c r="L57" s="5">
        <f t="shared" si="77"/>
        <v>0</v>
      </c>
      <c r="M57" s="5">
        <f t="shared" si="77"/>
        <v>0</v>
      </c>
      <c r="N57" s="5">
        <f t="shared" si="77"/>
        <v>1</v>
      </c>
      <c r="O57" s="5">
        <f t="shared" si="77"/>
        <v>0</v>
      </c>
      <c r="P57" s="9">
        <f t="shared" si="77"/>
        <v>0</v>
      </c>
      <c r="Q57" s="5">
        <f t="shared" si="77"/>
        <v>0</v>
      </c>
      <c r="R57" s="5">
        <f t="shared" si="77"/>
        <v>0</v>
      </c>
      <c r="S57" s="5">
        <f t="shared" si="77"/>
        <v>0</v>
      </c>
      <c r="T57" s="5">
        <f t="shared" si="77"/>
        <v>0</v>
      </c>
      <c r="U57" s="9">
        <f t="shared" si="77"/>
        <v>1</v>
      </c>
      <c r="V57" s="5">
        <f t="shared" si="77"/>
        <v>1</v>
      </c>
      <c r="W57" s="5">
        <f t="shared" si="77"/>
        <v>0</v>
      </c>
      <c r="X57" s="5">
        <f t="shared" si="77"/>
        <v>1</v>
      </c>
      <c r="Y57" s="5">
        <f t="shared" si="77"/>
        <v>0</v>
      </c>
    </row>
    <row r="58" spans="4:33" ht="18" x14ac:dyDescent="0.3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1</v>
      </c>
      <c r="J58" s="4" t="str">
        <f t="shared" si="78"/>
        <v>1</v>
      </c>
      <c r="K58" s="4" t="str">
        <f t="shared" si="78"/>
        <v>.</v>
      </c>
      <c r="L58" s="4" t="str">
        <f t="shared" si="78"/>
        <v>1</v>
      </c>
      <c r="M58" s="4" t="str">
        <f t="shared" si="78"/>
        <v>0</v>
      </c>
      <c r="N58" s="4" t="str">
        <f t="shared" si="78"/>
        <v>1</v>
      </c>
      <c r="O58" s="4" t="str">
        <f t="shared" si="78"/>
        <v>1</v>
      </c>
      <c r="P58" s="4" t="str">
        <f t="shared" si="78"/>
        <v>.</v>
      </c>
      <c r="Q58" s="4" t="str">
        <f t="shared" si="78"/>
        <v>0</v>
      </c>
      <c r="R58" s="4" t="str">
        <f t="shared" si="78"/>
        <v>0</v>
      </c>
      <c r="S58" s="4" t="str">
        <f t="shared" si="78"/>
        <v>0</v>
      </c>
      <c r="T58" s="4" t="str">
        <f t="shared" si="78"/>
        <v>0</v>
      </c>
      <c r="U58" s="4" t="str">
        <f t="shared" si="78"/>
        <v>.</v>
      </c>
      <c r="V58" s="4" t="str">
        <f t="shared" si="78"/>
        <v>1</v>
      </c>
      <c r="W58" s="4" t="str">
        <f t="shared" si="78"/>
        <v>0</v>
      </c>
      <c r="X58" s="4" t="str">
        <f t="shared" si="78"/>
        <v>1</v>
      </c>
      <c r="Y58" s="4" t="str">
        <f t="shared" si="78"/>
        <v>0</v>
      </c>
      <c r="AC58" t="s">
        <v>42</v>
      </c>
      <c r="AD58">
        <f>C4</f>
        <v>15114</v>
      </c>
    </row>
    <row r="59" spans="4:33" ht="18" x14ac:dyDescent="0.35">
      <c r="D59" s="1" t="s">
        <v>37</v>
      </c>
      <c r="E59" t="s">
        <v>55</v>
      </c>
      <c r="G59" s="8" t="str">
        <f>G11</f>
        <v>1</v>
      </c>
      <c r="H59" s="8" t="str">
        <f t="shared" ref="H59:Y59" si="79">H11</f>
        <v>1</v>
      </c>
      <c r="I59" s="8" t="str">
        <f t="shared" si="79"/>
        <v>0</v>
      </c>
      <c r="J59" s="8" t="str">
        <f t="shared" si="79"/>
        <v>0</v>
      </c>
      <c r="K59" s="8" t="str">
        <f t="shared" si="79"/>
        <v>.</v>
      </c>
      <c r="L59" s="8" t="str">
        <f t="shared" si="79"/>
        <v>0</v>
      </c>
      <c r="M59" s="8" t="str">
        <f t="shared" si="79"/>
        <v>0</v>
      </c>
      <c r="N59" s="8" t="str">
        <f t="shared" si="79"/>
        <v>1</v>
      </c>
      <c r="O59" s="8" t="str">
        <f t="shared" si="79"/>
        <v>0</v>
      </c>
      <c r="P59" s="8" t="str">
        <f t="shared" si="79"/>
        <v>.</v>
      </c>
      <c r="Q59" s="8" t="str">
        <f t="shared" si="79"/>
        <v>1</v>
      </c>
      <c r="R59" s="8" t="str">
        <f t="shared" si="79"/>
        <v>1</v>
      </c>
      <c r="S59" s="8" t="str">
        <f t="shared" si="79"/>
        <v>1</v>
      </c>
      <c r="T59" s="8" t="str">
        <f t="shared" si="79"/>
        <v>0</v>
      </c>
      <c r="U59" s="8" t="str">
        <f t="shared" si="79"/>
        <v>.</v>
      </c>
      <c r="V59" s="8" t="str">
        <f t="shared" si="79"/>
        <v>1</v>
      </c>
      <c r="W59" s="8" t="str">
        <f t="shared" si="79"/>
        <v>0</v>
      </c>
      <c r="X59" s="8" t="str">
        <f t="shared" si="79"/>
        <v>1</v>
      </c>
      <c r="Y59" s="8" t="str">
        <f t="shared" si="79"/>
        <v>0</v>
      </c>
      <c r="AB59" s="3" t="s">
        <v>37</v>
      </c>
      <c r="AC59" s="7" t="s">
        <v>56</v>
      </c>
      <c r="AD59" s="7">
        <f>C11</f>
        <v>-15638</v>
      </c>
      <c r="AG59" t="str">
        <f>IF(W62=0,IF(AND(AA60=AD60,H62=0),$AG$2,$AG$4),IF(G60=0,$AG$5,$AG$3))</f>
        <v>Результат корректный</v>
      </c>
    </row>
    <row r="60" spans="4:33" ht="18" x14ac:dyDescent="0.35">
      <c r="G60" s="4">
        <f>IF(G58&lt;&gt;".",MOD(H57+G58+G59,2),".")</f>
        <v>1</v>
      </c>
      <c r="H60" s="4">
        <f t="shared" ref="H60:Y60" si="80">IF(H58&lt;&gt;".",MOD(I57+H58+H59,2),".")</f>
        <v>1</v>
      </c>
      <c r="I60" s="4">
        <f t="shared" si="80"/>
        <v>1</v>
      </c>
      <c r="J60" s="4">
        <f t="shared" si="80"/>
        <v>1</v>
      </c>
      <c r="K60" s="4" t="str">
        <f t="shared" si="80"/>
        <v>.</v>
      </c>
      <c r="L60" s="4">
        <f t="shared" si="80"/>
        <v>1</v>
      </c>
      <c r="M60" s="4">
        <f t="shared" si="80"/>
        <v>1</v>
      </c>
      <c r="N60" s="4">
        <f t="shared" si="80"/>
        <v>0</v>
      </c>
      <c r="O60" s="4">
        <f t="shared" si="80"/>
        <v>1</v>
      </c>
      <c r="P60" s="4" t="str">
        <f t="shared" si="80"/>
        <v>.</v>
      </c>
      <c r="Q60" s="4">
        <f t="shared" si="80"/>
        <v>1</v>
      </c>
      <c r="R60" s="4">
        <f t="shared" si="80"/>
        <v>1</v>
      </c>
      <c r="S60" s="4">
        <f t="shared" si="80"/>
        <v>1</v>
      </c>
      <c r="T60" s="4">
        <f t="shared" si="80"/>
        <v>1</v>
      </c>
      <c r="U60" s="4" t="str">
        <f t="shared" si="80"/>
        <v>.</v>
      </c>
      <c r="V60" s="4">
        <f t="shared" si="80"/>
        <v>0</v>
      </c>
      <c r="W60" s="4">
        <f t="shared" si="80"/>
        <v>1</v>
      </c>
      <c r="X60" s="4">
        <f t="shared" si="80"/>
        <v>0</v>
      </c>
      <c r="Y60" s="4">
        <f t="shared" si="80"/>
        <v>0</v>
      </c>
      <c r="Z60" s="10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-524</v>
      </c>
      <c r="AB60" s="10" t="s">
        <v>44</v>
      </c>
      <c r="AD60">
        <f>AD58+AD59</f>
        <v>-524</v>
      </c>
    </row>
    <row r="61" spans="4:33" x14ac:dyDescent="0.25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0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0</v>
      </c>
      <c r="J61" s="4" t="str">
        <f t="shared" si="81"/>
        <v>0</v>
      </c>
      <c r="K61" s="4" t="str">
        <f t="shared" si="81"/>
        <v>.</v>
      </c>
      <c r="L61" s="4" t="str">
        <f t="shared" si="81"/>
        <v>0</v>
      </c>
      <c r="M61" s="4" t="str">
        <f t="shared" si="81"/>
        <v>0</v>
      </c>
      <c r="N61" s="4" t="str">
        <f t="shared" si="81"/>
        <v>1</v>
      </c>
      <c r="O61" s="4" t="str">
        <f t="shared" si="81"/>
        <v>0</v>
      </c>
      <c r="P61" s="4" t="str">
        <f t="shared" si="81"/>
        <v>.</v>
      </c>
      <c r="Q61" s="4" t="str">
        <f t="shared" si="81"/>
        <v>0</v>
      </c>
      <c r="R61" s="4" t="str">
        <f t="shared" si="81"/>
        <v>0</v>
      </c>
      <c r="S61" s="4" t="str">
        <f t="shared" si="81"/>
        <v>0</v>
      </c>
      <c r="T61" s="4" t="str">
        <f t="shared" si="81"/>
        <v>0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0</v>
      </c>
      <c r="Y61" s="4" t="str">
        <f t="shared" si="81"/>
        <v>0</v>
      </c>
    </row>
    <row r="62" spans="4:33" x14ac:dyDescent="0.25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1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25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1</v>
      </c>
      <c r="K65" s="9">
        <f t="shared" si="82"/>
        <v>1</v>
      </c>
      <c r="L65" s="5">
        <f t="shared" si="82"/>
        <v>1</v>
      </c>
      <c r="M65" s="5">
        <f t="shared" si="82"/>
        <v>0</v>
      </c>
      <c r="N65" s="5">
        <f t="shared" si="82"/>
        <v>0</v>
      </c>
      <c r="O65" s="5">
        <f t="shared" si="82"/>
        <v>1</v>
      </c>
      <c r="P65" s="9">
        <f t="shared" si="82"/>
        <v>1</v>
      </c>
      <c r="Q65" s="5">
        <f t="shared" si="82"/>
        <v>1</v>
      </c>
      <c r="R65" s="5">
        <f t="shared" si="82"/>
        <v>1</v>
      </c>
      <c r="S65" s="5">
        <f t="shared" si="82"/>
        <v>1</v>
      </c>
      <c r="T65" s="5">
        <f t="shared" si="82"/>
        <v>0</v>
      </c>
      <c r="U65" s="9">
        <f t="shared" si="82"/>
        <v>0</v>
      </c>
      <c r="V65" s="5">
        <f t="shared" si="82"/>
        <v>0</v>
      </c>
      <c r="W65" s="5">
        <f t="shared" si="82"/>
        <v>0</v>
      </c>
      <c r="X65" s="5">
        <f t="shared" si="82"/>
        <v>0</v>
      </c>
      <c r="Y65" s="5">
        <f t="shared" si="82"/>
        <v>0</v>
      </c>
    </row>
    <row r="66" spans="4:33" ht="18" x14ac:dyDescent="0.35">
      <c r="E66" t="s">
        <v>60</v>
      </c>
      <c r="G66" s="4" t="str">
        <f>G14</f>
        <v>1</v>
      </c>
      <c r="H66" s="4" t="str">
        <f t="shared" ref="H66:Y66" si="83">H14</f>
        <v>1</v>
      </c>
      <c r="I66" s="4" t="str">
        <f t="shared" si="83"/>
        <v>1</v>
      </c>
      <c r="J66" s="4" t="str">
        <f t="shared" si="83"/>
        <v>1</v>
      </c>
      <c r="K66" s="4" t="str">
        <f t="shared" si="83"/>
        <v>.</v>
      </c>
      <c r="L66" s="4" t="str">
        <f t="shared" si="83"/>
        <v>1</v>
      </c>
      <c r="M66" s="4" t="str">
        <f t="shared" si="83"/>
        <v>1</v>
      </c>
      <c r="N66" s="4" t="str">
        <f t="shared" si="83"/>
        <v>0</v>
      </c>
      <c r="O66" s="4" t="str">
        <f t="shared" si="83"/>
        <v>1</v>
      </c>
      <c r="P66" s="4" t="str">
        <f t="shared" si="83"/>
        <v>.</v>
      </c>
      <c r="Q66" s="4" t="str">
        <f t="shared" si="83"/>
        <v>1</v>
      </c>
      <c r="R66" s="4" t="str">
        <f t="shared" si="83"/>
        <v>1</v>
      </c>
      <c r="S66" s="4" t="str">
        <f t="shared" si="83"/>
        <v>1</v>
      </c>
      <c r="T66" s="4" t="str">
        <f t="shared" si="83"/>
        <v>1</v>
      </c>
      <c r="U66" s="4" t="str">
        <f t="shared" si="83"/>
        <v>.</v>
      </c>
      <c r="V66" s="4" t="str">
        <f t="shared" si="83"/>
        <v>0</v>
      </c>
      <c r="W66" s="4" t="str">
        <f t="shared" si="83"/>
        <v>1</v>
      </c>
      <c r="X66" s="4" t="str">
        <f t="shared" si="83"/>
        <v>0</v>
      </c>
      <c r="Y66" s="4" t="str">
        <f t="shared" si="83"/>
        <v>0</v>
      </c>
      <c r="AC66" t="s">
        <v>61</v>
      </c>
      <c r="AD66">
        <f>C14</f>
        <v>-524</v>
      </c>
    </row>
    <row r="67" spans="4:33" ht="18" x14ac:dyDescent="0.35">
      <c r="D67" s="1" t="s">
        <v>37</v>
      </c>
      <c r="E67" t="s">
        <v>51</v>
      </c>
      <c r="G67" s="8" t="str">
        <f>G6</f>
        <v>0</v>
      </c>
      <c r="H67" s="8" t="str">
        <f t="shared" ref="H67:Y67" si="84">H6</f>
        <v>1</v>
      </c>
      <c r="I67" s="8" t="str">
        <f t="shared" si="84"/>
        <v>1</v>
      </c>
      <c r="J67" s="8" t="str">
        <f t="shared" si="84"/>
        <v>1</v>
      </c>
      <c r="K67" s="8" t="str">
        <f t="shared" si="84"/>
        <v>.</v>
      </c>
      <c r="L67" s="8" t="str">
        <f t="shared" si="84"/>
        <v>1</v>
      </c>
      <c r="M67" s="8" t="str">
        <f t="shared" si="84"/>
        <v>0</v>
      </c>
      <c r="N67" s="8" t="str">
        <f t="shared" si="84"/>
        <v>0</v>
      </c>
      <c r="O67" s="8" t="str">
        <f t="shared" si="84"/>
        <v>0</v>
      </c>
      <c r="P67" s="8" t="str">
        <f t="shared" si="84"/>
        <v>.</v>
      </c>
      <c r="Q67" s="8" t="str">
        <f t="shared" si="84"/>
        <v>0</v>
      </c>
      <c r="R67" s="8" t="str">
        <f t="shared" si="84"/>
        <v>0</v>
      </c>
      <c r="S67" s="8" t="str">
        <f t="shared" si="84"/>
        <v>1</v>
      </c>
      <c r="T67" s="8" t="str">
        <f t="shared" si="84"/>
        <v>0</v>
      </c>
      <c r="U67" s="8" t="str">
        <f t="shared" si="84"/>
        <v>.</v>
      </c>
      <c r="V67" s="8" t="str">
        <f t="shared" si="84"/>
        <v>0</v>
      </c>
      <c r="W67" s="8" t="str">
        <f t="shared" si="84"/>
        <v>0</v>
      </c>
      <c r="X67" s="8" t="str">
        <f t="shared" si="84"/>
        <v>0</v>
      </c>
      <c r="Y67" s="8" t="str">
        <f t="shared" si="84"/>
        <v>0</v>
      </c>
      <c r="AB67" s="3" t="s">
        <v>37</v>
      </c>
      <c r="AC67" s="7" t="s">
        <v>52</v>
      </c>
      <c r="AD67" s="7">
        <f>C6</f>
        <v>30752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8" x14ac:dyDescent="0.35">
      <c r="G68" s="4">
        <f>IF(G66&lt;&gt;".",MOD(H65+G66+G67,2),".")</f>
        <v>0</v>
      </c>
      <c r="H68" s="4">
        <f t="shared" ref="H68:Y68" si="85">IF(H66&lt;&gt;".",MOD(I65+H66+H67,2),".")</f>
        <v>1</v>
      </c>
      <c r="I68" s="4">
        <f t="shared" si="85"/>
        <v>1</v>
      </c>
      <c r="J68" s="4">
        <f t="shared" si="85"/>
        <v>1</v>
      </c>
      <c r="K68" s="4" t="str">
        <f t="shared" si="85"/>
        <v>.</v>
      </c>
      <c r="L68" s="4">
        <f t="shared" si="85"/>
        <v>0</v>
      </c>
      <c r="M68" s="4">
        <f t="shared" si="85"/>
        <v>1</v>
      </c>
      <c r="N68" s="4">
        <f t="shared" si="85"/>
        <v>1</v>
      </c>
      <c r="O68" s="4">
        <f t="shared" si="85"/>
        <v>0</v>
      </c>
      <c r="P68" s="4" t="str">
        <f t="shared" si="85"/>
        <v>.</v>
      </c>
      <c r="Q68" s="4">
        <f t="shared" si="85"/>
        <v>0</v>
      </c>
      <c r="R68" s="4">
        <f t="shared" si="85"/>
        <v>0</v>
      </c>
      <c r="S68" s="4">
        <f t="shared" si="85"/>
        <v>0</v>
      </c>
      <c r="T68" s="4">
        <f t="shared" si="85"/>
        <v>1</v>
      </c>
      <c r="U68" s="4" t="str">
        <f t="shared" si="85"/>
        <v>.</v>
      </c>
      <c r="V68" s="4">
        <f t="shared" si="85"/>
        <v>0</v>
      </c>
      <c r="W68" s="4">
        <f t="shared" si="85"/>
        <v>1</v>
      </c>
      <c r="X68" s="4">
        <f t="shared" si="85"/>
        <v>0</v>
      </c>
      <c r="Y68" s="4">
        <f t="shared" si="85"/>
        <v>0</v>
      </c>
      <c r="Z68" s="10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30228</v>
      </c>
      <c r="AB68" s="10" t="s">
        <v>44</v>
      </c>
      <c r="AD68">
        <f>AD66+AD67</f>
        <v>30228</v>
      </c>
    </row>
    <row r="69" spans="4:33" x14ac:dyDescent="0.25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25">
      <c r="G70" t="s">
        <v>45</v>
      </c>
      <c r="H70" s="2">
        <f>G65</f>
        <v>1</v>
      </c>
      <c r="J70" t="s">
        <v>46</v>
      </c>
      <c r="K70" s="2">
        <f>MOD(SUM(V68:Y68)+SUM(Q68:T68)+1,2)</f>
        <v>1</v>
      </c>
      <c r="M70" t="s">
        <v>47</v>
      </c>
      <c r="N70" s="2">
        <f>U65</f>
        <v>0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mergeCells count="1">
    <mergeCell ref="AA3:AB3"/>
  </mergeCells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&amp;CБых Даниил Максимович, Вариант 13, task.xslm</oddHeader>
    <oddFooter>&amp;C11:44
14.12.2025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Daniil Bykh</cp:lastModifiedBy>
  <dcterms:created xsi:type="dcterms:W3CDTF">2021-11-22T11:23:00Z</dcterms:created>
  <dcterms:modified xsi:type="dcterms:W3CDTF">2025-12-14T16:39:37Z</dcterms:modified>
</cp:coreProperties>
</file>